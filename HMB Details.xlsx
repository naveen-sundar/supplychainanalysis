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ena2\Downloads\"/>
    </mc:Choice>
  </mc:AlternateContent>
  <xr:revisionPtr revIDLastSave="0" documentId="13_ncr:1_{AEA29FD3-FCC7-4844-A0FD-FE3B8780FC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4" r:id="rId1"/>
    <sheet name="Master Data" sheetId="3" state="hidden" r:id="rId2"/>
    <sheet name="Milk 04.02.2026" sheetId="5" state="hidden" r:id="rId3"/>
    <sheet name="Route Details" sheetId="6" r:id="rId4"/>
  </sheets>
  <definedNames>
    <definedName name="_xlnm._FilterDatabase" localSheetId="2" hidden="1">'Milk 04.02.2026'!$A$2:$X$127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4" l="1"/>
  <c r="K9" i="4"/>
  <c r="J9" i="4"/>
  <c r="I9" i="4"/>
  <c r="S3" i="5"/>
  <c r="S1" i="5" s="1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P3" i="4"/>
  <c r="P4" i="4"/>
  <c r="P5" i="4"/>
  <c r="P6" i="4"/>
  <c r="P7" i="4"/>
  <c r="P8" i="4"/>
  <c r="P2" i="4"/>
  <c r="O2" i="4"/>
  <c r="N3" i="4"/>
  <c r="O3" i="4" s="1"/>
  <c r="N4" i="4"/>
  <c r="O4" i="4" s="1"/>
  <c r="N5" i="4"/>
  <c r="O5" i="4" s="1"/>
  <c r="N6" i="4"/>
  <c r="O6" i="4" s="1"/>
  <c r="N7" i="4"/>
  <c r="O7" i="4" s="1"/>
  <c r="N8" i="4"/>
  <c r="O8" i="4" s="1"/>
  <c r="N2" i="4"/>
  <c r="P9" i="4" l="1"/>
  <c r="N9" i="4"/>
  <c r="O9" i="4" s="1"/>
</calcChain>
</file>

<file path=xl/sharedStrings.xml><?xml version="1.0" encoding="utf-8"?>
<sst xmlns="http://schemas.openxmlformats.org/spreadsheetml/2006/main" count="2078" uniqueCount="281">
  <si>
    <t>12.128618, 78.508230</t>
  </si>
  <si>
    <t>12.132347, 78.503098</t>
  </si>
  <si>
    <t>S.Patti</t>
  </si>
  <si>
    <t>12.136838, 78.517603</t>
  </si>
  <si>
    <t>12.13985, 78.513876</t>
  </si>
  <si>
    <t>12.154343, 78.520720</t>
  </si>
  <si>
    <t>Katteri</t>
  </si>
  <si>
    <t>12.200672, 78.544356</t>
  </si>
  <si>
    <t>Bharathi Nagar</t>
  </si>
  <si>
    <t>12.181160, 78.487462</t>
  </si>
  <si>
    <t>12.214011, 78.524933</t>
  </si>
  <si>
    <t xml:space="preserve">Chinnakamachipatti </t>
  </si>
  <si>
    <t>12.245573, 78.502648</t>
  </si>
  <si>
    <t>kallur</t>
  </si>
  <si>
    <t>12.256257, 78.523127</t>
  </si>
  <si>
    <t>cc</t>
  </si>
  <si>
    <t>12.308573, 78.535901</t>
  </si>
  <si>
    <t>Chandrapuram</t>
  </si>
  <si>
    <t>12.511537, 78.479387</t>
  </si>
  <si>
    <t>Abbu Kottai</t>
  </si>
  <si>
    <t>12.484344, 78.525893</t>
  </si>
  <si>
    <t>Sevvathor-Uk</t>
  </si>
  <si>
    <t>12.447473, 78.510476</t>
  </si>
  <si>
    <t>Salur</t>
  </si>
  <si>
    <t>12.423957, 78.527091</t>
  </si>
  <si>
    <t>Sevvathur Puthur</t>
  </si>
  <si>
    <t>12.421739, 78.525516</t>
  </si>
  <si>
    <t>K Papparappatti</t>
  </si>
  <si>
    <t>12.392854, 78.507255</t>
  </si>
  <si>
    <t>Kamatchi Patti</t>
  </si>
  <si>
    <t>12.390991, 78.502607</t>
  </si>
  <si>
    <t>Sandha Goundanoor</t>
  </si>
  <si>
    <t>12.377051, 78.502111</t>
  </si>
  <si>
    <t>Muthakavandanur-2</t>
  </si>
  <si>
    <t>12.358793, 78.504272</t>
  </si>
  <si>
    <t>Chinnakunnathur</t>
  </si>
  <si>
    <t>12.327505, 78.525129</t>
  </si>
  <si>
    <t>CC</t>
  </si>
  <si>
    <t>Sellakuttapatti</t>
  </si>
  <si>
    <t>12.316684, 78.292302</t>
  </si>
  <si>
    <t>Vellangamudi</t>
  </si>
  <si>
    <t>12.333878, 78.291179</t>
  </si>
  <si>
    <t>Mannadiyur</t>
  </si>
  <si>
    <t>12.298243, 78.526018</t>
  </si>
  <si>
    <t>Kamarajnager</t>
  </si>
  <si>
    <t>12.304127, 78.524105</t>
  </si>
  <si>
    <t>12.203366, 78.599066</t>
  </si>
  <si>
    <t>Puliyampatti</t>
  </si>
  <si>
    <t>12.194661, 78.590276</t>
  </si>
  <si>
    <t>12.194040, 78.561813</t>
  </si>
  <si>
    <t>12.203667, 78.591089</t>
  </si>
  <si>
    <t>12.22473, 78.60550</t>
  </si>
  <si>
    <t>12.276323, 78.575194</t>
  </si>
  <si>
    <t>Visuvasampatti</t>
  </si>
  <si>
    <t>12.319247, 78.582894</t>
  </si>
  <si>
    <t>ANNA NAGAR</t>
  </si>
  <si>
    <t>12.348228, 78.742339</t>
  </si>
  <si>
    <t>VALAYAMPATTU</t>
  </si>
  <si>
    <t>12.320284, 78.758632</t>
  </si>
  <si>
    <t>C.KOTTAI</t>
  </si>
  <si>
    <t>12.305445, 78.727964</t>
  </si>
  <si>
    <t>THARPARPALAYAM</t>
  </si>
  <si>
    <t>12.302056, 78.740639</t>
  </si>
  <si>
    <t>VENKATESAPURAM</t>
  </si>
  <si>
    <t>12.297781, 78.741329</t>
  </si>
  <si>
    <t>CHINNAKAYAMPATTU</t>
  </si>
  <si>
    <t>12.295209, 78.746412</t>
  </si>
  <si>
    <t>ANNADHAVADI</t>
  </si>
  <si>
    <t>12.257574, 78.655742</t>
  </si>
  <si>
    <t>KAMARAJ NAGAR</t>
  </si>
  <si>
    <t>12.256883, 78.635571</t>
  </si>
  <si>
    <t>KOTHUR</t>
  </si>
  <si>
    <t>12.501834, 78.453716</t>
  </si>
  <si>
    <t>ANKINAYANAPALLI</t>
  </si>
  <si>
    <t>12.537604, 78.402700</t>
  </si>
  <si>
    <t>MN KUNDA-2</t>
  </si>
  <si>
    <t>12.518806, 78.431751</t>
  </si>
  <si>
    <t xml:space="preserve">BATHIRIKANUR </t>
  </si>
  <si>
    <t>12.517183,78.420361</t>
  </si>
  <si>
    <t>SANTHI</t>
  </si>
  <si>
    <t>12.502366, 78.499884</t>
  </si>
  <si>
    <t xml:space="preserve">SARAVANAN </t>
  </si>
  <si>
    <t>12.502366, 78.499885</t>
  </si>
  <si>
    <t>PADHANAVADI</t>
  </si>
  <si>
    <t>12.445467, 78.496444</t>
  </si>
  <si>
    <t>RAMESH</t>
  </si>
  <si>
    <t>12.413893, 78.494462</t>
  </si>
  <si>
    <t>AADHALIYUR</t>
  </si>
  <si>
    <t>12.374820, 78.510324</t>
  </si>
  <si>
    <t>S MOTTUR</t>
  </si>
  <si>
    <t>12.318317, 78.539733</t>
  </si>
  <si>
    <t>12.298335, 78.603956</t>
  </si>
  <si>
    <t>12.306626, 78.600190</t>
  </si>
  <si>
    <t>12.302126, 78.578182</t>
  </si>
  <si>
    <t>12.340343, 78.598251</t>
  </si>
  <si>
    <t>12.360528, 78.580033</t>
  </si>
  <si>
    <t>12.350897, 78.567078</t>
  </si>
  <si>
    <t>12.347498, 78.548347</t>
  </si>
  <si>
    <t>12.382510, 78.548859</t>
  </si>
  <si>
    <t xml:space="preserve">PADHANAVADI Pallathur </t>
  </si>
  <si>
    <t>12.474098,78.469658</t>
  </si>
  <si>
    <t>Bargoor</t>
  </si>
  <si>
    <t>Harur</t>
  </si>
  <si>
    <t>Singarapettai</t>
  </si>
  <si>
    <t>Mathurpathi</t>
  </si>
  <si>
    <t>M10126</t>
  </si>
  <si>
    <t>M10134</t>
  </si>
  <si>
    <t>M10135</t>
  </si>
  <si>
    <t>M11515</t>
  </si>
  <si>
    <t>M11830</t>
  </si>
  <si>
    <t>M13169</t>
  </si>
  <si>
    <t>M13483</t>
  </si>
  <si>
    <t>Plant</t>
  </si>
  <si>
    <t xml:space="preserve"> CC Lat &amp; Long</t>
  </si>
  <si>
    <t>Route Name</t>
  </si>
  <si>
    <t>Center</t>
  </si>
  <si>
    <t>Center Name</t>
  </si>
  <si>
    <t>P.Code</t>
  </si>
  <si>
    <t>Route code</t>
  </si>
  <si>
    <t>Distance</t>
  </si>
  <si>
    <t>Lat/Long</t>
  </si>
  <si>
    <t>Kandhili-II</t>
  </si>
  <si>
    <t>Manmalai</t>
  </si>
  <si>
    <t xml:space="preserve">Karuthampatti pudur </t>
  </si>
  <si>
    <t>Buddanur</t>
  </si>
  <si>
    <t xml:space="preserve">S Patty X Road </t>
  </si>
  <si>
    <t>Elayampatti</t>
  </si>
  <si>
    <t>Keelkuppam</t>
  </si>
  <si>
    <t>Pudupatty</t>
  </si>
  <si>
    <t>12.182543, 78.521604</t>
  </si>
  <si>
    <t>Naickannurpudur</t>
  </si>
  <si>
    <t xml:space="preserve">Elakkampatti </t>
  </si>
  <si>
    <t>K.p.valasai</t>
  </si>
  <si>
    <t>Bommadasampatti II</t>
  </si>
  <si>
    <t xml:space="preserve">marampatti </t>
  </si>
  <si>
    <t xml:space="preserve">Reddivalasai II </t>
  </si>
  <si>
    <t>visuvasampatti</t>
  </si>
  <si>
    <t xml:space="preserve"> cc </t>
  </si>
  <si>
    <t>12.289174, 78.596513</t>
  </si>
  <si>
    <t xml:space="preserve">Reddvalasai </t>
  </si>
  <si>
    <t xml:space="preserve">kedagnoor </t>
  </si>
  <si>
    <t xml:space="preserve">Naduyour </t>
  </si>
  <si>
    <t xml:space="preserve">Samatchikottai </t>
  </si>
  <si>
    <t xml:space="preserve">Thathankottai </t>
  </si>
  <si>
    <t xml:space="preserve">Ariyanur </t>
  </si>
  <si>
    <t xml:space="preserve">Keelmathur </t>
  </si>
  <si>
    <t xml:space="preserve">Vannampalli </t>
  </si>
  <si>
    <t xml:space="preserve">Samuthupuram </t>
  </si>
  <si>
    <t>12.383142, 78.579918</t>
  </si>
  <si>
    <t xml:space="preserve">Kavandapanur </t>
  </si>
  <si>
    <t>12.416903,78.500350</t>
  </si>
  <si>
    <t>CC NAME :Uthangakarai CC</t>
  </si>
  <si>
    <t>Date</t>
  </si>
  <si>
    <t>Route</t>
  </si>
  <si>
    <t>Route Description</t>
  </si>
  <si>
    <t>Transporter</t>
  </si>
  <si>
    <t>Transporter Name</t>
  </si>
  <si>
    <t>Truck No</t>
  </si>
  <si>
    <t>Vechicle Type</t>
  </si>
  <si>
    <t>Fixed KM Rate</t>
  </si>
  <si>
    <t>KM Rate</t>
  </si>
  <si>
    <t>Uthangarai</t>
  </si>
  <si>
    <t>SALAVUDEEN SYEDBASHA UTHANGARA</t>
  </si>
  <si>
    <t>TN24BD2089</t>
  </si>
  <si>
    <t>307 KM</t>
  </si>
  <si>
    <t>Kanthili-II</t>
  </si>
  <si>
    <t>G.ANNADURAI TRANSPORT</t>
  </si>
  <si>
    <t>TN24E4629</t>
  </si>
  <si>
    <t>R.SAMIKANNU TRANSPORT</t>
  </si>
  <si>
    <t>TN29BX8581</t>
  </si>
  <si>
    <t>KALAISELVI MOHAN  UTHANGARAI T</t>
  </si>
  <si>
    <t>TN24K4057</t>
  </si>
  <si>
    <t>TATA ACE</t>
  </si>
  <si>
    <t>MATHURPATHI</t>
  </si>
  <si>
    <t>S DHILIPKUMAR TRANSPORT</t>
  </si>
  <si>
    <t>TN29AR7137</t>
  </si>
  <si>
    <t>C THIRUMAL UTHANGARAI TRANSPOR</t>
  </si>
  <si>
    <t>TN23AL8195</t>
  </si>
  <si>
    <t>Manmalai-I</t>
  </si>
  <si>
    <t>M MANIKANDAN CHENGAM TRANSPORT</t>
  </si>
  <si>
    <t>TN25AZ7944</t>
  </si>
  <si>
    <t>Per day Hire</t>
  </si>
  <si>
    <t>Per day KM</t>
  </si>
  <si>
    <t>Capacity</t>
  </si>
  <si>
    <t>Plant Name</t>
  </si>
  <si>
    <t>Shift</t>
  </si>
  <si>
    <t>Channel</t>
  </si>
  <si>
    <t>Sample Number</t>
  </si>
  <si>
    <t>Type of Business</t>
  </si>
  <si>
    <t>Milk Category</t>
  </si>
  <si>
    <t>Milk Type</t>
  </si>
  <si>
    <t>Qty Received in KG</t>
  </si>
  <si>
    <t>Milk Dumping Time</t>
  </si>
  <si>
    <t>No of Cans</t>
  </si>
  <si>
    <t>User Name</t>
  </si>
  <si>
    <t>Center Type</t>
  </si>
  <si>
    <t>Order Number</t>
  </si>
  <si>
    <t>E</t>
  </si>
  <si>
    <t>SEVVATHUR PUTHUR</t>
  </si>
  <si>
    <t>HMB w/o Retail</t>
  </si>
  <si>
    <t>G</t>
  </si>
  <si>
    <t>C</t>
  </si>
  <si>
    <t>HMB</t>
  </si>
  <si>
    <t>SALUR</t>
  </si>
  <si>
    <t>SANDHA GOUNDANOOR</t>
  </si>
  <si>
    <t>ABBU KOTTAI</t>
  </si>
  <si>
    <t>SEVVATHOR-UK</t>
  </si>
  <si>
    <t>CHANDRAPURAM</t>
  </si>
  <si>
    <t>KAMATCHI PATTI</t>
  </si>
  <si>
    <t>K PAPPARAPPATTI</t>
  </si>
  <si>
    <t>MUTHAKAVANDANUR-2</t>
  </si>
  <si>
    <t>CHINNAKUNNATHUR</t>
  </si>
  <si>
    <t>M</t>
  </si>
  <si>
    <t>S.MOTTUR</t>
  </si>
  <si>
    <t>ADHALIYUR</t>
  </si>
  <si>
    <t>KOTTHUR</t>
  </si>
  <si>
    <t>M N KUNDA 2</t>
  </si>
  <si>
    <t>BATHRIKANUR</t>
  </si>
  <si>
    <t>KAVANDAPANUR</t>
  </si>
  <si>
    <t>PADHANAVADI PALLUTHUR</t>
  </si>
  <si>
    <t>S SANTHI</t>
  </si>
  <si>
    <t>Farm Vendor</t>
  </si>
  <si>
    <t>FARM</t>
  </si>
  <si>
    <t>SARAVANAN</t>
  </si>
  <si>
    <t>RAMESH D</t>
  </si>
  <si>
    <t>S.PATTI</t>
  </si>
  <si>
    <t>ELAYAMPATTI-UK</t>
  </si>
  <si>
    <t>KARUTHAMPATTI PUDUR</t>
  </si>
  <si>
    <t>KATTERI</t>
  </si>
  <si>
    <t>KEELKUPPAM</t>
  </si>
  <si>
    <t>S PATTY X ROAD</t>
  </si>
  <si>
    <t>BHARATHI NAGAR</t>
  </si>
  <si>
    <t>BUDDANUR</t>
  </si>
  <si>
    <t>PUDUPATTI</t>
  </si>
  <si>
    <t>KEDAGANUR</t>
  </si>
  <si>
    <t>SAMATCHI KOTTAI</t>
  </si>
  <si>
    <t>VANNAMPALLI-UK</t>
  </si>
  <si>
    <t>SAMATHUVAPURAM</t>
  </si>
  <si>
    <t>REDDYVALASAI</t>
  </si>
  <si>
    <t>NADUYOUR</t>
  </si>
  <si>
    <t>KEELMATHUR</t>
  </si>
  <si>
    <t>ARIYANUR</t>
  </si>
  <si>
    <t>THATHANKOTTAI </t>
  </si>
  <si>
    <t>VELLANGAMUDI</t>
  </si>
  <si>
    <t>KAMARAJNAGER</t>
  </si>
  <si>
    <t>SELLAKUTTAPATTI</t>
  </si>
  <si>
    <t>MANNADIYUR</t>
  </si>
  <si>
    <t>CHINNAKANAKKAMPATTI</t>
  </si>
  <si>
    <t>KALLUR</t>
  </si>
  <si>
    <t>VISUVASAMPATTI</t>
  </si>
  <si>
    <t>MARAMPATTI</t>
  </si>
  <si>
    <t>PULIYAMPATTI</t>
  </si>
  <si>
    <t>ELAKKAMPATTI</t>
  </si>
  <si>
    <t>NAICKANURPUDHUR</t>
  </si>
  <si>
    <t>K.P.VALASAI</t>
  </si>
  <si>
    <t>BOMMADASAMPATTI II </t>
  </si>
  <si>
    <t>REDDIVALASAI II</t>
  </si>
  <si>
    <t>ANANTHAVADI</t>
  </si>
  <si>
    <t>ANNANAGAR</t>
  </si>
  <si>
    <t>VALAYAMBATTU</t>
  </si>
  <si>
    <t>C KOTTAI</t>
  </si>
  <si>
    <t>VENGATESAPURAM</t>
  </si>
  <si>
    <t>Milk in Ltr</t>
  </si>
  <si>
    <t>CPL</t>
  </si>
  <si>
    <t>UTI %</t>
  </si>
  <si>
    <t>Milk Qty/Day</t>
  </si>
  <si>
    <t>Grand Total</t>
  </si>
  <si>
    <t>Route Code</t>
  </si>
  <si>
    <t>HMB-1</t>
  </si>
  <si>
    <t>HMB-2</t>
  </si>
  <si>
    <t>HMB-3</t>
  </si>
  <si>
    <t>HMB-4</t>
  </si>
  <si>
    <t>HMB-5</t>
  </si>
  <si>
    <t>HMB-6</t>
  </si>
  <si>
    <t>HMB-7</t>
  </si>
  <si>
    <t>HMB-8</t>
  </si>
  <si>
    <t>HMB-9</t>
  </si>
  <si>
    <t>HMB-10</t>
  </si>
  <si>
    <t>HMB-11</t>
  </si>
  <si>
    <t>HMB-12</t>
  </si>
  <si>
    <t>CC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</si>
</sst>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4" fillId="0" borderId="0">
      <alignment vertical="center"/>
    </xf>
  </cellStyleXfs>
  <cellXfs count="7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2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2" fontId="7" fillId="7" borderId="1" xfId="0" applyNumberFormat="1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2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1" applyFont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F7" sqref="F7"/>
    </sheetView>
  </sheetViews>
  <sheetFormatPr defaultColWidth="9.109375" defaultRowHeight="14.4" x14ac:dyDescent="0.3"/>
  <cols>
    <col min="1" max="1" width="5.5546875" style="23" bestFit="1" customWidth="1"/>
    <col min="2" max="2" width="10.5546875" style="23" bestFit="1" customWidth="1"/>
    <col min="3" max="3" width="7.6640625" style="23" bestFit="1" customWidth="1"/>
    <col min="4" max="4" width="14.6640625" style="23" bestFit="1" customWidth="1"/>
    <col min="5" max="5" width="8.6640625" style="23" bestFit="1" customWidth="1"/>
    <col min="6" max="6" width="37.44140625" style="23" bestFit="1" customWidth="1"/>
    <col min="7" max="7" width="11.88671875" style="23" bestFit="1" customWidth="1"/>
    <col min="8" max="8" width="9.44140625" style="23" bestFit="1" customWidth="1"/>
    <col min="9" max="10" width="9.44140625" style="23" customWidth="1"/>
    <col min="11" max="11" width="8.5546875" style="23" bestFit="1" customWidth="1"/>
    <col min="12" max="13" width="8.44140625" style="23" bestFit="1" customWidth="1"/>
    <col min="14" max="14" width="7.5546875" style="23" bestFit="1" customWidth="1"/>
    <col min="15" max="16384" width="9.109375" style="23"/>
  </cols>
  <sheetData>
    <row r="1" spans="1:16" ht="28.8" x14ac:dyDescent="0.3">
      <c r="A1" s="20" t="s">
        <v>112</v>
      </c>
      <c r="B1" s="20" t="s">
        <v>112</v>
      </c>
      <c r="C1" s="20" t="s">
        <v>153</v>
      </c>
      <c r="D1" s="20" t="s">
        <v>154</v>
      </c>
      <c r="E1" s="20" t="s">
        <v>155</v>
      </c>
      <c r="F1" s="20" t="s">
        <v>156</v>
      </c>
      <c r="G1" s="20" t="s">
        <v>157</v>
      </c>
      <c r="H1" s="20" t="s">
        <v>158</v>
      </c>
      <c r="I1" s="20" t="s">
        <v>183</v>
      </c>
      <c r="J1" s="20" t="s">
        <v>265</v>
      </c>
      <c r="K1" s="20" t="s">
        <v>182</v>
      </c>
      <c r="L1" s="20" t="s">
        <v>160</v>
      </c>
      <c r="M1" s="20" t="s">
        <v>159</v>
      </c>
      <c r="N1" s="20" t="s">
        <v>181</v>
      </c>
      <c r="O1" s="53" t="s">
        <v>263</v>
      </c>
      <c r="P1" s="53" t="s">
        <v>264</v>
      </c>
    </row>
    <row r="2" spans="1:16" x14ac:dyDescent="0.3">
      <c r="A2" s="17">
        <v>1142</v>
      </c>
      <c r="B2" s="17" t="s">
        <v>161</v>
      </c>
      <c r="C2" s="17" t="s">
        <v>105</v>
      </c>
      <c r="D2" s="17" t="s">
        <v>101</v>
      </c>
      <c r="E2" s="17">
        <v>6015285</v>
      </c>
      <c r="F2" s="17" t="s">
        <v>162</v>
      </c>
      <c r="G2" s="17" t="s">
        <v>163</v>
      </c>
      <c r="H2" s="17" t="s">
        <v>164</v>
      </c>
      <c r="I2" s="1">
        <v>3100</v>
      </c>
      <c r="J2" s="50">
        <v>1043.7530384054448</v>
      </c>
      <c r="K2" s="1">
        <v>168</v>
      </c>
      <c r="L2" s="51">
        <v>7.56</v>
      </c>
      <c r="M2" s="51">
        <v>540</v>
      </c>
      <c r="N2" s="52">
        <f t="shared" ref="N2:N8" si="0">K2*L2+M2</f>
        <v>1810.08</v>
      </c>
      <c r="O2" s="54">
        <f t="shared" ref="O2:O8" si="1">N2/J2</f>
        <v>1.7342033348858872</v>
      </c>
      <c r="P2" s="55">
        <f t="shared" ref="P2:P8" si="2">J2/I2%</f>
        <v>33.669452851788542</v>
      </c>
    </row>
    <row r="3" spans="1:16" x14ac:dyDescent="0.3">
      <c r="A3" s="17">
        <v>1142</v>
      </c>
      <c r="B3" s="17" t="s">
        <v>161</v>
      </c>
      <c r="C3" s="17" t="s">
        <v>106</v>
      </c>
      <c r="D3" s="17" t="s">
        <v>165</v>
      </c>
      <c r="E3" s="17">
        <v>6002446</v>
      </c>
      <c r="F3" s="17" t="s">
        <v>166</v>
      </c>
      <c r="G3" s="17" t="s">
        <v>167</v>
      </c>
      <c r="H3" s="17" t="s">
        <v>164</v>
      </c>
      <c r="I3" s="1">
        <v>3100</v>
      </c>
      <c r="J3" s="50">
        <v>1626.3490520175014</v>
      </c>
      <c r="K3" s="1">
        <v>210</v>
      </c>
      <c r="L3" s="51">
        <v>7.69</v>
      </c>
      <c r="M3" s="51">
        <v>565</v>
      </c>
      <c r="N3" s="52">
        <f t="shared" si="0"/>
        <v>2179.9</v>
      </c>
      <c r="O3" s="54">
        <f t="shared" si="1"/>
        <v>1.3403641716984516</v>
      </c>
      <c r="P3" s="55">
        <f t="shared" si="2"/>
        <v>52.462872645725852</v>
      </c>
    </row>
    <row r="4" spans="1:16" x14ac:dyDescent="0.3">
      <c r="A4" s="17">
        <v>1142</v>
      </c>
      <c r="B4" s="17" t="s">
        <v>161</v>
      </c>
      <c r="C4" s="17" t="s">
        <v>107</v>
      </c>
      <c r="D4" s="17" t="s">
        <v>102</v>
      </c>
      <c r="E4" s="17">
        <v>6000572</v>
      </c>
      <c r="F4" s="17" t="s">
        <v>168</v>
      </c>
      <c r="G4" s="17" t="s">
        <v>169</v>
      </c>
      <c r="H4" s="17" t="s">
        <v>164</v>
      </c>
      <c r="I4" s="1">
        <v>3100</v>
      </c>
      <c r="J4" s="50">
        <v>918.42489061740389</v>
      </c>
      <c r="K4" s="1">
        <v>150</v>
      </c>
      <c r="L4" s="51">
        <v>7.56</v>
      </c>
      <c r="M4" s="51">
        <v>540</v>
      </c>
      <c r="N4" s="52">
        <f t="shared" si="0"/>
        <v>1674</v>
      </c>
      <c r="O4" s="54">
        <f t="shared" si="1"/>
        <v>1.8226857929282239</v>
      </c>
      <c r="P4" s="55">
        <f t="shared" si="2"/>
        <v>29.626609374754963</v>
      </c>
    </row>
    <row r="5" spans="1:16" x14ac:dyDescent="0.3">
      <c r="A5" s="17">
        <v>1142</v>
      </c>
      <c r="B5" s="17" t="s">
        <v>161</v>
      </c>
      <c r="C5" s="17" t="s">
        <v>108</v>
      </c>
      <c r="D5" s="17" t="s">
        <v>103</v>
      </c>
      <c r="E5" s="17">
        <v>6014244</v>
      </c>
      <c r="F5" s="17" t="s">
        <v>170</v>
      </c>
      <c r="G5" s="17" t="s">
        <v>171</v>
      </c>
      <c r="H5" s="17" t="s">
        <v>172</v>
      </c>
      <c r="I5" s="1">
        <v>2200</v>
      </c>
      <c r="J5" s="50">
        <v>1434.6135148274186</v>
      </c>
      <c r="K5" s="1">
        <v>104</v>
      </c>
      <c r="L5" s="51">
        <v>9.69</v>
      </c>
      <c r="M5" s="51">
        <v>100</v>
      </c>
      <c r="N5" s="52">
        <f t="shared" si="0"/>
        <v>1107.76</v>
      </c>
      <c r="O5" s="54">
        <f t="shared" si="1"/>
        <v>0.77216615384615384</v>
      </c>
      <c r="P5" s="55">
        <f t="shared" si="2"/>
        <v>65.209705219428116</v>
      </c>
    </row>
    <row r="6" spans="1:16" x14ac:dyDescent="0.3">
      <c r="A6" s="17">
        <v>1142</v>
      </c>
      <c r="B6" s="17" t="s">
        <v>161</v>
      </c>
      <c r="C6" s="17" t="s">
        <v>109</v>
      </c>
      <c r="D6" s="17" t="s">
        <v>173</v>
      </c>
      <c r="E6" s="17">
        <v>6006014</v>
      </c>
      <c r="F6" s="17" t="s">
        <v>174</v>
      </c>
      <c r="G6" s="17" t="s">
        <v>175</v>
      </c>
      <c r="H6" s="17" t="s">
        <v>164</v>
      </c>
      <c r="I6" s="1">
        <v>3100</v>
      </c>
      <c r="J6" s="50">
        <v>880.31113271754987</v>
      </c>
      <c r="K6" s="1">
        <v>178</v>
      </c>
      <c r="L6" s="51">
        <v>7.69</v>
      </c>
      <c r="M6" s="51">
        <v>565</v>
      </c>
      <c r="N6" s="52">
        <f t="shared" si="0"/>
        <v>1933.8200000000002</v>
      </c>
      <c r="O6" s="54">
        <f t="shared" si="1"/>
        <v>2.1967460459465431</v>
      </c>
      <c r="P6" s="55">
        <f t="shared" si="2"/>
        <v>28.39713331346935</v>
      </c>
    </row>
    <row r="7" spans="1:16" x14ac:dyDescent="0.3">
      <c r="A7" s="17">
        <v>1142</v>
      </c>
      <c r="B7" s="17" t="s">
        <v>161</v>
      </c>
      <c r="C7" s="17" t="s">
        <v>110</v>
      </c>
      <c r="D7" s="17" t="s">
        <v>53</v>
      </c>
      <c r="E7" s="17">
        <v>6015398</v>
      </c>
      <c r="F7" s="17" t="s">
        <v>176</v>
      </c>
      <c r="G7" s="17" t="s">
        <v>177</v>
      </c>
      <c r="H7" s="17" t="s">
        <v>172</v>
      </c>
      <c r="I7" s="1">
        <v>2200</v>
      </c>
      <c r="J7" s="50">
        <v>1450.9479824987845</v>
      </c>
      <c r="K7" s="1">
        <v>156</v>
      </c>
      <c r="L7" s="51">
        <v>9.69</v>
      </c>
      <c r="M7" s="51">
        <v>130</v>
      </c>
      <c r="N7" s="52">
        <f t="shared" si="0"/>
        <v>1641.6399999999999</v>
      </c>
      <c r="O7" s="54">
        <f t="shared" si="1"/>
        <v>1.1314258125041881</v>
      </c>
      <c r="P7" s="55">
        <f t="shared" si="2"/>
        <v>65.952181022672022</v>
      </c>
    </row>
    <row r="8" spans="1:16" x14ac:dyDescent="0.3">
      <c r="A8" s="17">
        <v>1142</v>
      </c>
      <c r="B8" s="17" t="s">
        <v>161</v>
      </c>
      <c r="C8" s="17" t="s">
        <v>111</v>
      </c>
      <c r="D8" s="17" t="s">
        <v>178</v>
      </c>
      <c r="E8" s="17">
        <v>6012723</v>
      </c>
      <c r="F8" s="17" t="s">
        <v>179</v>
      </c>
      <c r="G8" s="17" t="s">
        <v>180</v>
      </c>
      <c r="H8" s="17" t="s">
        <v>172</v>
      </c>
      <c r="I8" s="1">
        <v>2200</v>
      </c>
      <c r="J8" s="50">
        <v>1147.4963539134662</v>
      </c>
      <c r="K8" s="1">
        <v>188</v>
      </c>
      <c r="L8" s="51">
        <v>9.69</v>
      </c>
      <c r="M8" s="51">
        <v>0</v>
      </c>
      <c r="N8" s="52">
        <f t="shared" si="0"/>
        <v>1821.7199999999998</v>
      </c>
      <c r="O8" s="54">
        <f t="shared" si="1"/>
        <v>1.5875605998983222</v>
      </c>
      <c r="P8" s="55">
        <f t="shared" si="2"/>
        <v>52.158925177884832</v>
      </c>
    </row>
    <row r="9" spans="1:16" x14ac:dyDescent="0.3">
      <c r="A9" s="68" t="s">
        <v>266</v>
      </c>
      <c r="B9" s="69"/>
      <c r="C9" s="70"/>
      <c r="D9" s="71"/>
      <c r="E9" s="71"/>
      <c r="F9" s="71"/>
      <c r="G9" s="71"/>
      <c r="H9" s="72"/>
      <c r="I9" s="56">
        <f>SUM(I2:I8)</f>
        <v>19000</v>
      </c>
      <c r="J9" s="57">
        <f>SUM(J2:J8)</f>
        <v>8501.8959649975695</v>
      </c>
      <c r="K9" s="56">
        <f>SUM(K2:K8)</f>
        <v>1154</v>
      </c>
      <c r="L9" s="56"/>
      <c r="M9" s="56">
        <f>SUM(M2:M8)</f>
        <v>2440</v>
      </c>
      <c r="N9" s="56">
        <f>SUM(N2:N8)</f>
        <v>12168.919999999998</v>
      </c>
      <c r="O9" s="58">
        <f t="shared" ref="O9" si="3">N9/J9</f>
        <v>1.4313183847578965</v>
      </c>
      <c r="P9" s="59">
        <f t="shared" ref="P9" si="4">J9/I9%</f>
        <v>44.746820868408264</v>
      </c>
    </row>
  </sheetData>
  <sortState xmlns:xlrd2="http://schemas.microsoft.com/office/spreadsheetml/2017/richdata2" ref="A2:P8">
    <sortCondition ref="C2:C8"/>
  </sortState>
  <mergeCells count="2">
    <mergeCell ref="A9:B9"/>
    <mergeCell ref="C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7"/>
  <sheetViews>
    <sheetView workbookViewId="0">
      <selection sqref="A1:K1"/>
    </sheetView>
  </sheetViews>
  <sheetFormatPr defaultColWidth="9.109375" defaultRowHeight="14.4" x14ac:dyDescent="0.3"/>
  <cols>
    <col min="1" max="1" width="9.109375" style="23"/>
    <col min="2" max="2" width="21.33203125" style="23" bestFit="1" customWidth="1"/>
    <col min="3" max="3" width="13.44140625" style="23" bestFit="1" customWidth="1"/>
    <col min="4" max="4" width="9.109375" style="23"/>
    <col min="5" max="5" width="21.5546875" style="49" bestFit="1" customWidth="1"/>
    <col min="6" max="6" width="9.109375" style="23"/>
    <col min="7" max="7" width="10.33203125" style="23" bestFit="1" customWidth="1"/>
    <col min="8" max="8" width="9.109375" style="23"/>
    <col min="9" max="9" width="10.33203125" style="23" bestFit="1" customWidth="1"/>
    <col min="10" max="10" width="9.109375" style="23"/>
    <col min="11" max="11" width="21.6640625" style="23" customWidth="1"/>
    <col min="12" max="12" width="18.5546875" style="23" customWidth="1"/>
    <col min="13" max="16384" width="9.109375" style="23"/>
  </cols>
  <sheetData>
    <row r="1" spans="1:12" x14ac:dyDescent="0.3">
      <c r="A1" s="73" t="s">
        <v>151</v>
      </c>
      <c r="B1" s="74"/>
      <c r="C1" s="74"/>
      <c r="D1" s="74"/>
      <c r="E1" s="74"/>
      <c r="F1" s="74"/>
      <c r="G1" s="74"/>
      <c r="H1" s="74"/>
      <c r="I1" s="74"/>
      <c r="J1" s="74"/>
      <c r="K1" s="75"/>
    </row>
    <row r="2" spans="1:12" x14ac:dyDescent="0.3">
      <c r="A2" s="16" t="s">
        <v>112</v>
      </c>
      <c r="B2" s="16" t="s">
        <v>113</v>
      </c>
      <c r="C2" s="16" t="s">
        <v>114</v>
      </c>
      <c r="D2" s="16" t="s">
        <v>115</v>
      </c>
      <c r="E2" s="35" t="s">
        <v>116</v>
      </c>
      <c r="F2" s="16" t="s">
        <v>117</v>
      </c>
      <c r="G2" s="16" t="s">
        <v>118</v>
      </c>
      <c r="H2" s="16" t="s">
        <v>119</v>
      </c>
      <c r="I2" s="16" t="s">
        <v>118</v>
      </c>
      <c r="J2" s="16" t="s">
        <v>119</v>
      </c>
      <c r="K2" s="16" t="s">
        <v>120</v>
      </c>
    </row>
    <row r="3" spans="1:12" x14ac:dyDescent="0.3">
      <c r="A3" s="2">
        <v>1142</v>
      </c>
      <c r="B3" s="4" t="s">
        <v>16</v>
      </c>
      <c r="C3" s="2" t="s">
        <v>102</v>
      </c>
      <c r="D3" s="26">
        <v>212858</v>
      </c>
      <c r="E3" s="36" t="s">
        <v>123</v>
      </c>
      <c r="F3" s="2">
        <v>1</v>
      </c>
      <c r="G3" s="2" t="s">
        <v>107</v>
      </c>
      <c r="H3" s="2">
        <v>21.5</v>
      </c>
      <c r="I3" s="2" t="s">
        <v>107</v>
      </c>
      <c r="J3" s="2">
        <v>21.5</v>
      </c>
      <c r="K3" s="1" t="s">
        <v>0</v>
      </c>
    </row>
    <row r="4" spans="1:12" x14ac:dyDescent="0.3">
      <c r="A4" s="2">
        <v>1142</v>
      </c>
      <c r="B4" s="4" t="s">
        <v>16</v>
      </c>
      <c r="C4" s="2" t="s">
        <v>102</v>
      </c>
      <c r="D4" s="26">
        <v>231117</v>
      </c>
      <c r="E4" s="36" t="s">
        <v>124</v>
      </c>
      <c r="F4" s="2">
        <v>2</v>
      </c>
      <c r="G4" s="2" t="s">
        <v>107</v>
      </c>
      <c r="H4" s="2">
        <v>2.5</v>
      </c>
      <c r="I4" s="2" t="s">
        <v>107</v>
      </c>
      <c r="J4" s="2">
        <v>2.5</v>
      </c>
      <c r="K4" s="1" t="s">
        <v>1</v>
      </c>
    </row>
    <row r="5" spans="1:12" x14ac:dyDescent="0.3">
      <c r="A5" s="2">
        <v>1142</v>
      </c>
      <c r="B5" s="4" t="s">
        <v>16</v>
      </c>
      <c r="C5" s="2" t="s">
        <v>102</v>
      </c>
      <c r="D5" s="26">
        <v>202595</v>
      </c>
      <c r="E5" s="36" t="s">
        <v>2</v>
      </c>
      <c r="F5" s="2">
        <v>3</v>
      </c>
      <c r="G5" s="2" t="s">
        <v>107</v>
      </c>
      <c r="H5" s="2">
        <v>2.6</v>
      </c>
      <c r="I5" s="2" t="s">
        <v>107</v>
      </c>
      <c r="J5" s="2">
        <v>2.6</v>
      </c>
      <c r="K5" s="1" t="s">
        <v>3</v>
      </c>
    </row>
    <row r="6" spans="1:12" x14ac:dyDescent="0.3">
      <c r="A6" s="2">
        <v>1142</v>
      </c>
      <c r="B6" s="4" t="s">
        <v>16</v>
      </c>
      <c r="C6" s="2" t="s">
        <v>102</v>
      </c>
      <c r="D6" s="26">
        <v>228795</v>
      </c>
      <c r="E6" s="36" t="s">
        <v>125</v>
      </c>
      <c r="F6" s="2">
        <v>5</v>
      </c>
      <c r="G6" s="2" t="s">
        <v>107</v>
      </c>
      <c r="H6" s="2">
        <v>1.8</v>
      </c>
      <c r="I6" s="2" t="s">
        <v>107</v>
      </c>
      <c r="J6" s="2">
        <v>1.8</v>
      </c>
      <c r="K6" s="1" t="s">
        <v>4</v>
      </c>
    </row>
    <row r="7" spans="1:12" x14ac:dyDescent="0.3">
      <c r="A7" s="2">
        <v>1142</v>
      </c>
      <c r="B7" s="4" t="s">
        <v>16</v>
      </c>
      <c r="C7" s="2" t="s">
        <v>102</v>
      </c>
      <c r="D7" s="26">
        <v>212415</v>
      </c>
      <c r="E7" s="36" t="s">
        <v>126</v>
      </c>
      <c r="F7" s="2">
        <v>8</v>
      </c>
      <c r="G7" s="2" t="s">
        <v>107</v>
      </c>
      <c r="H7" s="2">
        <v>2.2999999999999998</v>
      </c>
      <c r="I7" s="2" t="s">
        <v>107</v>
      </c>
      <c r="J7" s="2">
        <v>2.2999999999999998</v>
      </c>
      <c r="K7" s="1" t="s">
        <v>5</v>
      </c>
    </row>
    <row r="8" spans="1:12" x14ac:dyDescent="0.3">
      <c r="A8" s="2">
        <v>1142</v>
      </c>
      <c r="B8" s="4" t="s">
        <v>16</v>
      </c>
      <c r="C8" s="2" t="s">
        <v>102</v>
      </c>
      <c r="D8" s="10">
        <v>222022</v>
      </c>
      <c r="E8" s="37" t="s">
        <v>6</v>
      </c>
      <c r="F8" s="2">
        <v>10</v>
      </c>
      <c r="G8" s="2" t="s">
        <v>107</v>
      </c>
      <c r="H8" s="2">
        <v>9.6</v>
      </c>
      <c r="I8" s="2" t="s">
        <v>107</v>
      </c>
      <c r="J8" s="2">
        <v>9.6</v>
      </c>
      <c r="K8" s="1" t="s">
        <v>7</v>
      </c>
    </row>
    <row r="9" spans="1:12" x14ac:dyDescent="0.3">
      <c r="A9" s="2">
        <v>1142</v>
      </c>
      <c r="B9" s="4" t="s">
        <v>16</v>
      </c>
      <c r="C9" s="2" t="s">
        <v>102</v>
      </c>
      <c r="D9" s="26">
        <v>228329</v>
      </c>
      <c r="E9" s="36" t="s">
        <v>127</v>
      </c>
      <c r="F9" s="2">
        <v>11</v>
      </c>
      <c r="G9" s="2" t="s">
        <v>107</v>
      </c>
      <c r="H9" s="2">
        <v>4.8</v>
      </c>
      <c r="I9" s="2" t="s">
        <v>107</v>
      </c>
      <c r="J9" s="2">
        <v>4.8</v>
      </c>
      <c r="K9" s="1" t="s">
        <v>10</v>
      </c>
    </row>
    <row r="10" spans="1:12" x14ac:dyDescent="0.3">
      <c r="A10" s="2">
        <v>1142</v>
      </c>
      <c r="B10" s="4" t="s">
        <v>16</v>
      </c>
      <c r="C10" s="2" t="s">
        <v>102</v>
      </c>
      <c r="D10" s="26">
        <v>231528</v>
      </c>
      <c r="E10" s="36" t="s">
        <v>128</v>
      </c>
      <c r="F10" s="2">
        <v>12</v>
      </c>
      <c r="G10" s="2" t="s">
        <v>107</v>
      </c>
      <c r="H10" s="2">
        <v>5.9</v>
      </c>
      <c r="I10" s="2" t="s">
        <v>107</v>
      </c>
      <c r="J10" s="2">
        <v>5.9</v>
      </c>
      <c r="K10" s="14" t="s">
        <v>129</v>
      </c>
    </row>
    <row r="11" spans="1:12" x14ac:dyDescent="0.3">
      <c r="A11" s="2">
        <v>1142</v>
      </c>
      <c r="B11" s="4" t="s">
        <v>16</v>
      </c>
      <c r="C11" s="2" t="s">
        <v>102</v>
      </c>
      <c r="D11" s="26">
        <v>230162</v>
      </c>
      <c r="E11" s="37" t="s">
        <v>8</v>
      </c>
      <c r="F11" s="2">
        <v>13</v>
      </c>
      <c r="G11" s="2" t="s">
        <v>107</v>
      </c>
      <c r="H11" s="2">
        <v>4.8</v>
      </c>
      <c r="I11" s="2" t="s">
        <v>107</v>
      </c>
      <c r="J11" s="2">
        <v>4.8</v>
      </c>
      <c r="K11" s="1" t="s">
        <v>9</v>
      </c>
    </row>
    <row r="12" spans="1:12" x14ac:dyDescent="0.3">
      <c r="A12" s="2"/>
      <c r="B12" s="2"/>
      <c r="C12" s="2"/>
      <c r="D12" s="3"/>
      <c r="E12" s="38" t="s">
        <v>15</v>
      </c>
      <c r="F12" s="2"/>
      <c r="G12" s="2"/>
      <c r="H12" s="6">
        <v>19.2</v>
      </c>
      <c r="I12" s="5"/>
      <c r="J12" s="6">
        <v>19.2</v>
      </c>
      <c r="K12" s="6" t="s">
        <v>16</v>
      </c>
      <c r="L12" s="27"/>
    </row>
    <row r="13" spans="1:12" x14ac:dyDescent="0.3">
      <c r="A13" s="2"/>
      <c r="B13" s="2"/>
      <c r="C13" s="2"/>
      <c r="D13" s="2"/>
      <c r="E13" s="39"/>
      <c r="F13" s="2"/>
      <c r="G13" s="2"/>
      <c r="H13" s="2"/>
      <c r="I13" s="2"/>
      <c r="J13" s="2"/>
      <c r="K13" s="2"/>
    </row>
    <row r="14" spans="1:12" x14ac:dyDescent="0.3">
      <c r="A14" s="2">
        <v>1142</v>
      </c>
      <c r="B14" s="4" t="s">
        <v>16</v>
      </c>
      <c r="C14" s="2" t="s">
        <v>101</v>
      </c>
      <c r="D14" s="1">
        <v>214603</v>
      </c>
      <c r="E14" s="39" t="s">
        <v>17</v>
      </c>
      <c r="F14" s="11">
        <v>1</v>
      </c>
      <c r="G14" s="2" t="s">
        <v>105</v>
      </c>
      <c r="H14" s="2">
        <v>32.299999999999997</v>
      </c>
      <c r="I14" s="2" t="s">
        <v>105</v>
      </c>
      <c r="J14" s="2">
        <v>32.299999999999997</v>
      </c>
      <c r="K14" s="2" t="s">
        <v>18</v>
      </c>
    </row>
    <row r="15" spans="1:12" x14ac:dyDescent="0.3">
      <c r="A15" s="2">
        <v>1142</v>
      </c>
      <c r="B15" s="4" t="s">
        <v>16</v>
      </c>
      <c r="C15" s="2" t="s">
        <v>101</v>
      </c>
      <c r="D15" s="1">
        <v>211158</v>
      </c>
      <c r="E15" s="39" t="s">
        <v>19</v>
      </c>
      <c r="F15" s="11">
        <v>2</v>
      </c>
      <c r="G15" s="2" t="s">
        <v>105</v>
      </c>
      <c r="H15" s="2">
        <v>8.6999999999999993</v>
      </c>
      <c r="I15" s="2" t="s">
        <v>105</v>
      </c>
      <c r="J15" s="2">
        <v>8.6999999999999993</v>
      </c>
      <c r="K15" s="2" t="s">
        <v>20</v>
      </c>
    </row>
    <row r="16" spans="1:12" x14ac:dyDescent="0.3">
      <c r="A16" s="2">
        <v>1142</v>
      </c>
      <c r="B16" s="4" t="s">
        <v>16</v>
      </c>
      <c r="C16" s="2" t="s">
        <v>101</v>
      </c>
      <c r="D16" s="1">
        <v>212466</v>
      </c>
      <c r="E16" s="39" t="s">
        <v>21</v>
      </c>
      <c r="F16" s="11">
        <v>3</v>
      </c>
      <c r="G16" s="2" t="s">
        <v>105</v>
      </c>
      <c r="H16" s="2">
        <v>10.6</v>
      </c>
      <c r="I16" s="2" t="s">
        <v>105</v>
      </c>
      <c r="J16" s="2">
        <v>10.6</v>
      </c>
      <c r="K16" s="2" t="s">
        <v>22</v>
      </c>
    </row>
    <row r="17" spans="1:11" x14ac:dyDescent="0.3">
      <c r="A17" s="2">
        <v>1142</v>
      </c>
      <c r="B17" s="4" t="s">
        <v>16</v>
      </c>
      <c r="C17" s="2" t="s">
        <v>101</v>
      </c>
      <c r="D17" s="1">
        <v>206888</v>
      </c>
      <c r="E17" s="39" t="s">
        <v>23</v>
      </c>
      <c r="F17" s="11">
        <v>4</v>
      </c>
      <c r="G17" s="2" t="s">
        <v>105</v>
      </c>
      <c r="H17" s="2">
        <v>5.2</v>
      </c>
      <c r="I17" s="2" t="s">
        <v>105</v>
      </c>
      <c r="J17" s="2">
        <v>5.2</v>
      </c>
      <c r="K17" s="2" t="s">
        <v>24</v>
      </c>
    </row>
    <row r="18" spans="1:11" x14ac:dyDescent="0.3">
      <c r="A18" s="2">
        <v>1142</v>
      </c>
      <c r="B18" s="4" t="s">
        <v>16</v>
      </c>
      <c r="C18" s="2" t="s">
        <v>101</v>
      </c>
      <c r="D18" s="1">
        <v>206797</v>
      </c>
      <c r="E18" s="39" t="s">
        <v>25</v>
      </c>
      <c r="F18" s="12">
        <v>5</v>
      </c>
      <c r="G18" s="2" t="s">
        <v>105</v>
      </c>
      <c r="H18" s="2">
        <v>0.3</v>
      </c>
      <c r="I18" s="2" t="s">
        <v>105</v>
      </c>
      <c r="J18" s="2">
        <v>0.3</v>
      </c>
      <c r="K18" s="2" t="s">
        <v>26</v>
      </c>
    </row>
    <row r="19" spans="1:11" x14ac:dyDescent="0.3">
      <c r="A19" s="2">
        <v>1142</v>
      </c>
      <c r="B19" s="4" t="s">
        <v>16</v>
      </c>
      <c r="C19" s="2" t="s">
        <v>101</v>
      </c>
      <c r="D19" s="1">
        <v>220557</v>
      </c>
      <c r="E19" s="39" t="s">
        <v>27</v>
      </c>
      <c r="F19" s="11">
        <v>6</v>
      </c>
      <c r="G19" s="2" t="s">
        <v>105</v>
      </c>
      <c r="H19" s="2">
        <v>4.0999999999999996</v>
      </c>
      <c r="I19" s="2" t="s">
        <v>105</v>
      </c>
      <c r="J19" s="2">
        <v>4.0999999999999996</v>
      </c>
      <c r="K19" s="2" t="s">
        <v>28</v>
      </c>
    </row>
    <row r="20" spans="1:11" x14ac:dyDescent="0.3">
      <c r="A20" s="2">
        <v>1142</v>
      </c>
      <c r="B20" s="4" t="s">
        <v>16</v>
      </c>
      <c r="C20" s="2" t="s">
        <v>101</v>
      </c>
      <c r="D20" s="1">
        <v>214908</v>
      </c>
      <c r="E20" s="39" t="s">
        <v>29</v>
      </c>
      <c r="F20" s="11">
        <v>7</v>
      </c>
      <c r="G20" s="2" t="s">
        <v>105</v>
      </c>
      <c r="H20" s="2">
        <v>0.7</v>
      </c>
      <c r="I20" s="2" t="s">
        <v>105</v>
      </c>
      <c r="J20" s="2">
        <v>0.7</v>
      </c>
      <c r="K20" s="2" t="s">
        <v>30</v>
      </c>
    </row>
    <row r="21" spans="1:11" x14ac:dyDescent="0.3">
      <c r="A21" s="2">
        <v>1142</v>
      </c>
      <c r="B21" s="4" t="s">
        <v>16</v>
      </c>
      <c r="C21" s="2" t="s">
        <v>101</v>
      </c>
      <c r="D21" s="1">
        <v>208801</v>
      </c>
      <c r="E21" s="39" t="s">
        <v>31</v>
      </c>
      <c r="F21" s="11">
        <v>8</v>
      </c>
      <c r="G21" s="2" t="s">
        <v>105</v>
      </c>
      <c r="H21" s="2">
        <v>2.6</v>
      </c>
      <c r="I21" s="2" t="s">
        <v>105</v>
      </c>
      <c r="J21" s="2">
        <v>2.6</v>
      </c>
      <c r="K21" s="2" t="s">
        <v>32</v>
      </c>
    </row>
    <row r="22" spans="1:11" x14ac:dyDescent="0.3">
      <c r="A22" s="2">
        <v>1142</v>
      </c>
      <c r="B22" s="4" t="s">
        <v>16</v>
      </c>
      <c r="C22" s="2" t="s">
        <v>101</v>
      </c>
      <c r="D22" s="1">
        <v>227490</v>
      </c>
      <c r="E22" s="39" t="s">
        <v>33</v>
      </c>
      <c r="F22" s="11">
        <v>9</v>
      </c>
      <c r="G22" s="2" t="s">
        <v>105</v>
      </c>
      <c r="H22" s="2">
        <v>8.1999999999999993</v>
      </c>
      <c r="I22" s="2" t="s">
        <v>105</v>
      </c>
      <c r="J22" s="2">
        <v>8.1999999999999993</v>
      </c>
      <c r="K22" s="2" t="s">
        <v>34</v>
      </c>
    </row>
    <row r="23" spans="1:11" x14ac:dyDescent="0.3">
      <c r="A23" s="2">
        <v>1142</v>
      </c>
      <c r="B23" s="4" t="s">
        <v>16</v>
      </c>
      <c r="C23" s="2" t="s">
        <v>101</v>
      </c>
      <c r="D23" s="1">
        <v>227642</v>
      </c>
      <c r="E23" s="39" t="s">
        <v>35</v>
      </c>
      <c r="F23" s="11">
        <v>10</v>
      </c>
      <c r="G23" s="2" t="s">
        <v>105</v>
      </c>
      <c r="H23" s="2">
        <v>7.3</v>
      </c>
      <c r="I23" s="2" t="s">
        <v>105</v>
      </c>
      <c r="J23" s="2">
        <v>7.3</v>
      </c>
      <c r="K23" s="2" t="s">
        <v>36</v>
      </c>
    </row>
    <row r="24" spans="1:11" x14ac:dyDescent="0.3">
      <c r="A24" s="2"/>
      <c r="B24" s="2"/>
      <c r="C24" s="2"/>
      <c r="D24" s="2"/>
      <c r="E24" s="39" t="s">
        <v>37</v>
      </c>
      <c r="F24" s="13">
        <v>11</v>
      </c>
      <c r="G24" s="2"/>
      <c r="H24" s="2">
        <v>4</v>
      </c>
      <c r="I24" s="2"/>
      <c r="J24" s="2">
        <v>4</v>
      </c>
      <c r="K24" s="1" t="s">
        <v>16</v>
      </c>
    </row>
    <row r="25" spans="1:11" x14ac:dyDescent="0.3">
      <c r="A25" s="2"/>
      <c r="B25" s="2"/>
      <c r="C25" s="2"/>
      <c r="D25" s="2"/>
      <c r="E25" s="39"/>
      <c r="F25" s="2"/>
      <c r="G25" s="2"/>
      <c r="H25" s="2"/>
      <c r="I25" s="2"/>
      <c r="J25" s="2"/>
      <c r="K25" s="2"/>
    </row>
    <row r="26" spans="1:11" x14ac:dyDescent="0.3">
      <c r="A26" s="2">
        <v>1142</v>
      </c>
      <c r="B26" s="4" t="s">
        <v>16</v>
      </c>
      <c r="C26" s="2" t="s">
        <v>104</v>
      </c>
      <c r="D26" s="5">
        <v>222967</v>
      </c>
      <c r="E26" s="40" t="s">
        <v>38</v>
      </c>
      <c r="F26" s="2">
        <v>1</v>
      </c>
      <c r="G26" s="2" t="s">
        <v>109</v>
      </c>
      <c r="H26" s="2">
        <v>36.700000000000003</v>
      </c>
      <c r="I26" s="2" t="s">
        <v>109</v>
      </c>
      <c r="J26" s="2">
        <v>36.700000000000003</v>
      </c>
      <c r="K26" s="5" t="s">
        <v>39</v>
      </c>
    </row>
    <row r="27" spans="1:11" x14ac:dyDescent="0.3">
      <c r="A27" s="2">
        <v>1142</v>
      </c>
      <c r="B27" s="4" t="s">
        <v>16</v>
      </c>
      <c r="C27" s="2" t="s">
        <v>104</v>
      </c>
      <c r="D27" s="5">
        <v>202545</v>
      </c>
      <c r="E27" s="40" t="s">
        <v>40</v>
      </c>
      <c r="F27" s="2">
        <v>2</v>
      </c>
      <c r="G27" s="2" t="s">
        <v>109</v>
      </c>
      <c r="H27" s="2">
        <v>2.4</v>
      </c>
      <c r="I27" s="2" t="s">
        <v>109</v>
      </c>
      <c r="J27" s="2">
        <v>2.4</v>
      </c>
      <c r="K27" s="5" t="s">
        <v>41</v>
      </c>
    </row>
    <row r="28" spans="1:11" x14ac:dyDescent="0.3">
      <c r="A28" s="2">
        <v>1142</v>
      </c>
      <c r="B28" s="4" t="s">
        <v>16</v>
      </c>
      <c r="C28" s="2" t="s">
        <v>104</v>
      </c>
      <c r="D28" s="5">
        <v>230864</v>
      </c>
      <c r="E28" s="40" t="s">
        <v>11</v>
      </c>
      <c r="F28" s="2">
        <v>3</v>
      </c>
      <c r="G28" s="2" t="s">
        <v>109</v>
      </c>
      <c r="H28" s="2">
        <v>33.6</v>
      </c>
      <c r="I28" s="2" t="s">
        <v>109</v>
      </c>
      <c r="J28" s="2">
        <v>33.6</v>
      </c>
      <c r="K28" s="5" t="s">
        <v>12</v>
      </c>
    </row>
    <row r="29" spans="1:11" x14ac:dyDescent="0.3">
      <c r="A29" s="2">
        <v>1142</v>
      </c>
      <c r="B29" s="4" t="s">
        <v>16</v>
      </c>
      <c r="C29" s="2" t="s">
        <v>104</v>
      </c>
      <c r="D29" s="14">
        <v>231039</v>
      </c>
      <c r="E29" s="41" t="s">
        <v>13</v>
      </c>
      <c r="F29" s="2">
        <v>4</v>
      </c>
      <c r="G29" s="2" t="s">
        <v>109</v>
      </c>
      <c r="H29" s="2">
        <v>3.1</v>
      </c>
      <c r="I29" s="2" t="s">
        <v>109</v>
      </c>
      <c r="J29" s="2">
        <v>3.1</v>
      </c>
      <c r="K29" s="14" t="s">
        <v>14</v>
      </c>
    </row>
    <row r="30" spans="1:11" x14ac:dyDescent="0.3">
      <c r="A30" s="2">
        <v>1142</v>
      </c>
      <c r="B30" s="4" t="s">
        <v>16</v>
      </c>
      <c r="C30" s="2" t="s">
        <v>104</v>
      </c>
      <c r="D30" s="5">
        <v>227430</v>
      </c>
      <c r="E30" s="40" t="s">
        <v>42</v>
      </c>
      <c r="F30" s="2">
        <v>5</v>
      </c>
      <c r="G30" s="2" t="s">
        <v>109</v>
      </c>
      <c r="H30" s="2">
        <v>6.7</v>
      </c>
      <c r="I30" s="2" t="s">
        <v>109</v>
      </c>
      <c r="J30" s="2">
        <v>6.7</v>
      </c>
      <c r="K30" s="2" t="s">
        <v>43</v>
      </c>
    </row>
    <row r="31" spans="1:11" x14ac:dyDescent="0.3">
      <c r="A31" s="2">
        <v>1142</v>
      </c>
      <c r="B31" s="4" t="s">
        <v>16</v>
      </c>
      <c r="C31" s="2" t="s">
        <v>104</v>
      </c>
      <c r="D31" s="5">
        <v>206573</v>
      </c>
      <c r="E31" s="40" t="s">
        <v>44</v>
      </c>
      <c r="F31" s="2">
        <v>6</v>
      </c>
      <c r="G31" s="2" t="s">
        <v>109</v>
      </c>
      <c r="H31" s="2">
        <v>4.8</v>
      </c>
      <c r="I31" s="2" t="s">
        <v>109</v>
      </c>
      <c r="J31" s="2">
        <v>4.8</v>
      </c>
      <c r="K31" s="2" t="s">
        <v>45</v>
      </c>
    </row>
    <row r="32" spans="1:11" x14ac:dyDescent="0.3">
      <c r="A32" s="2"/>
      <c r="B32" s="2"/>
      <c r="C32" s="2"/>
      <c r="D32" s="5"/>
      <c r="E32" s="40" t="s">
        <v>15</v>
      </c>
      <c r="F32" s="2">
        <v>7</v>
      </c>
      <c r="G32" s="2"/>
      <c r="H32" s="2">
        <v>1.7</v>
      </c>
      <c r="I32" s="2"/>
      <c r="J32" s="2">
        <v>1.7</v>
      </c>
      <c r="K32" s="2" t="s">
        <v>16</v>
      </c>
    </row>
    <row r="33" spans="1:11" x14ac:dyDescent="0.3">
      <c r="A33" s="2"/>
      <c r="B33" s="2"/>
      <c r="C33" s="2"/>
      <c r="D33" s="2"/>
      <c r="E33" s="39"/>
      <c r="F33" s="2"/>
      <c r="G33" s="2"/>
      <c r="H33" s="2"/>
      <c r="I33" s="2"/>
      <c r="J33" s="2"/>
      <c r="K33" s="2"/>
    </row>
    <row r="34" spans="1:11" x14ac:dyDescent="0.3">
      <c r="A34" s="2">
        <v>1142</v>
      </c>
      <c r="B34" s="4" t="s">
        <v>16</v>
      </c>
      <c r="C34" s="2" t="s">
        <v>53</v>
      </c>
      <c r="D34" s="15">
        <v>227299</v>
      </c>
      <c r="E34" s="42" t="s">
        <v>130</v>
      </c>
      <c r="F34" s="13">
        <v>1</v>
      </c>
      <c r="G34" s="2" t="s">
        <v>110</v>
      </c>
      <c r="H34" s="13">
        <v>23.2</v>
      </c>
      <c r="I34" s="2" t="s">
        <v>110</v>
      </c>
      <c r="J34" s="13">
        <v>23.2</v>
      </c>
      <c r="K34" s="1" t="s">
        <v>46</v>
      </c>
    </row>
    <row r="35" spans="1:11" x14ac:dyDescent="0.3">
      <c r="A35" s="2">
        <v>1142</v>
      </c>
      <c r="B35" s="4" t="s">
        <v>16</v>
      </c>
      <c r="C35" s="2" t="s">
        <v>53</v>
      </c>
      <c r="D35" s="15">
        <v>226794</v>
      </c>
      <c r="E35" s="42" t="s">
        <v>131</v>
      </c>
      <c r="F35" s="13">
        <v>2</v>
      </c>
      <c r="G35" s="2" t="s">
        <v>110</v>
      </c>
      <c r="H35" s="13">
        <v>7.8</v>
      </c>
      <c r="I35" s="2" t="s">
        <v>110</v>
      </c>
      <c r="J35" s="13">
        <v>7.8</v>
      </c>
      <c r="K35" s="1" t="s">
        <v>49</v>
      </c>
    </row>
    <row r="36" spans="1:11" x14ac:dyDescent="0.3">
      <c r="A36" s="2">
        <v>1142</v>
      </c>
      <c r="B36" s="4" t="s">
        <v>16</v>
      </c>
      <c r="C36" s="2" t="s">
        <v>53</v>
      </c>
      <c r="D36" s="15">
        <v>225778</v>
      </c>
      <c r="E36" s="42" t="s">
        <v>47</v>
      </c>
      <c r="F36" s="13">
        <v>3</v>
      </c>
      <c r="G36" s="2" t="s">
        <v>110</v>
      </c>
      <c r="H36" s="13">
        <v>4.5999999999999996</v>
      </c>
      <c r="I36" s="2" t="s">
        <v>110</v>
      </c>
      <c r="J36" s="13">
        <v>4.5999999999999996</v>
      </c>
      <c r="K36" s="1" t="s">
        <v>48</v>
      </c>
    </row>
    <row r="37" spans="1:11" ht="16.2" customHeight="1" x14ac:dyDescent="0.3">
      <c r="A37" s="2">
        <v>1142</v>
      </c>
      <c r="B37" s="4" t="s">
        <v>16</v>
      </c>
      <c r="C37" s="2" t="s">
        <v>53</v>
      </c>
      <c r="D37" s="15">
        <v>230654</v>
      </c>
      <c r="E37" s="42" t="s">
        <v>132</v>
      </c>
      <c r="F37" s="13">
        <v>4</v>
      </c>
      <c r="G37" s="2" t="s">
        <v>110</v>
      </c>
      <c r="H37" s="13">
        <v>1.8</v>
      </c>
      <c r="I37" s="2" t="s">
        <v>110</v>
      </c>
      <c r="J37" s="13">
        <v>1.8</v>
      </c>
      <c r="K37" s="3" t="s">
        <v>50</v>
      </c>
    </row>
    <row r="38" spans="1:11" ht="18" customHeight="1" x14ac:dyDescent="0.3">
      <c r="A38" s="2">
        <v>1142</v>
      </c>
      <c r="B38" s="4" t="s">
        <v>16</v>
      </c>
      <c r="C38" s="2" t="s">
        <v>53</v>
      </c>
      <c r="D38" s="15">
        <v>231102</v>
      </c>
      <c r="E38" s="42" t="s">
        <v>133</v>
      </c>
      <c r="F38" s="13">
        <v>5</v>
      </c>
      <c r="G38" s="2" t="s">
        <v>110</v>
      </c>
      <c r="H38" s="13">
        <v>3.6</v>
      </c>
      <c r="I38" s="2" t="s">
        <v>110</v>
      </c>
      <c r="J38" s="13">
        <v>3.6</v>
      </c>
      <c r="K38" s="3" t="s">
        <v>51</v>
      </c>
    </row>
    <row r="39" spans="1:11" x14ac:dyDescent="0.3">
      <c r="A39" s="2">
        <v>1142</v>
      </c>
      <c r="B39" s="4" t="s">
        <v>16</v>
      </c>
      <c r="C39" s="2" t="s">
        <v>53</v>
      </c>
      <c r="D39" s="15">
        <v>211867</v>
      </c>
      <c r="E39" s="42" t="s">
        <v>134</v>
      </c>
      <c r="F39" s="13">
        <v>6</v>
      </c>
      <c r="G39" s="2" t="s">
        <v>110</v>
      </c>
      <c r="H39" s="13">
        <v>11.1</v>
      </c>
      <c r="I39" s="2" t="s">
        <v>110</v>
      </c>
      <c r="J39" s="13">
        <v>11.1</v>
      </c>
      <c r="K39" s="1" t="s">
        <v>52</v>
      </c>
    </row>
    <row r="40" spans="1:11" ht="15" customHeight="1" x14ac:dyDescent="0.3">
      <c r="A40" s="2">
        <v>1142</v>
      </c>
      <c r="B40" s="4" t="s">
        <v>16</v>
      </c>
      <c r="C40" s="2" t="s">
        <v>53</v>
      </c>
      <c r="D40" s="15">
        <v>231909</v>
      </c>
      <c r="E40" s="42" t="s">
        <v>135</v>
      </c>
      <c r="F40" s="13">
        <v>7</v>
      </c>
      <c r="G40" s="2" t="s">
        <v>110</v>
      </c>
      <c r="H40" s="13">
        <v>7</v>
      </c>
      <c r="I40" s="2" t="s">
        <v>110</v>
      </c>
      <c r="J40" s="13">
        <v>7</v>
      </c>
      <c r="K40" s="28" t="s">
        <v>138</v>
      </c>
    </row>
    <row r="41" spans="1:11" x14ac:dyDescent="0.3">
      <c r="A41" s="2">
        <v>1142</v>
      </c>
      <c r="B41" s="4" t="s">
        <v>16</v>
      </c>
      <c r="C41" s="2" t="s">
        <v>53</v>
      </c>
      <c r="D41" s="15">
        <v>207805</v>
      </c>
      <c r="E41" s="42" t="s">
        <v>136</v>
      </c>
      <c r="F41" s="13">
        <v>8</v>
      </c>
      <c r="G41" s="2" t="s">
        <v>110</v>
      </c>
      <c r="H41" s="13">
        <v>6.4</v>
      </c>
      <c r="I41" s="2" t="s">
        <v>110</v>
      </c>
      <c r="J41" s="13">
        <v>6.4</v>
      </c>
      <c r="K41" s="1" t="s">
        <v>54</v>
      </c>
    </row>
    <row r="42" spans="1:11" x14ac:dyDescent="0.3">
      <c r="A42" s="2"/>
      <c r="B42" s="2"/>
      <c r="C42" s="2"/>
      <c r="D42" s="15"/>
      <c r="E42" s="42" t="s">
        <v>137</v>
      </c>
      <c r="F42" s="13">
        <v>9</v>
      </c>
      <c r="G42" s="2"/>
      <c r="H42" s="13">
        <v>12.5</v>
      </c>
      <c r="I42" s="2"/>
      <c r="J42" s="13">
        <v>12.5</v>
      </c>
      <c r="K42" s="1" t="s">
        <v>16</v>
      </c>
    </row>
    <row r="43" spans="1:11" x14ac:dyDescent="0.3">
      <c r="A43" s="2"/>
      <c r="B43" s="2"/>
      <c r="C43" s="2"/>
      <c r="D43" s="2"/>
      <c r="E43" s="39"/>
      <c r="F43" s="2"/>
      <c r="G43" s="2"/>
      <c r="H43" s="2"/>
      <c r="I43" s="2"/>
      <c r="J43" s="2"/>
      <c r="K43" s="2"/>
    </row>
    <row r="44" spans="1:11" x14ac:dyDescent="0.3">
      <c r="A44" s="2">
        <v>1142</v>
      </c>
      <c r="B44" s="4" t="s">
        <v>16</v>
      </c>
      <c r="C44" s="2" t="s">
        <v>122</v>
      </c>
      <c r="D44" s="29">
        <v>216170</v>
      </c>
      <c r="E44" s="43" t="s">
        <v>55</v>
      </c>
      <c r="F44" s="2">
        <v>1</v>
      </c>
      <c r="G44" s="2" t="s">
        <v>111</v>
      </c>
      <c r="H44" s="2">
        <v>40.200000000000003</v>
      </c>
      <c r="I44" s="2" t="s">
        <v>111</v>
      </c>
      <c r="J44" s="2">
        <v>40.200000000000003</v>
      </c>
      <c r="K44" s="7" t="s">
        <v>56</v>
      </c>
    </row>
    <row r="45" spans="1:11" x14ac:dyDescent="0.3">
      <c r="A45" s="2">
        <v>1142</v>
      </c>
      <c r="B45" s="4" t="s">
        <v>16</v>
      </c>
      <c r="C45" s="2" t="s">
        <v>122</v>
      </c>
      <c r="D45" s="29">
        <v>221328</v>
      </c>
      <c r="E45" s="43" t="s">
        <v>57</v>
      </c>
      <c r="F45" s="2">
        <v>2</v>
      </c>
      <c r="G45" s="2" t="s">
        <v>111</v>
      </c>
      <c r="H45" s="2">
        <v>4.0999999999999996</v>
      </c>
      <c r="I45" s="2" t="s">
        <v>111</v>
      </c>
      <c r="J45" s="2">
        <v>4.0999999999999996</v>
      </c>
      <c r="K45" s="8" t="s">
        <v>58</v>
      </c>
    </row>
    <row r="46" spans="1:11" x14ac:dyDescent="0.3">
      <c r="A46" s="2">
        <v>1142</v>
      </c>
      <c r="B46" s="4" t="s">
        <v>16</v>
      </c>
      <c r="C46" s="2" t="s">
        <v>122</v>
      </c>
      <c r="D46" s="29">
        <v>223997</v>
      </c>
      <c r="E46" s="43" t="s">
        <v>59</v>
      </c>
      <c r="F46" s="2">
        <v>3</v>
      </c>
      <c r="G46" s="2" t="s">
        <v>111</v>
      </c>
      <c r="H46" s="2">
        <v>7.3</v>
      </c>
      <c r="I46" s="2" t="s">
        <v>111</v>
      </c>
      <c r="J46" s="2">
        <v>7.3</v>
      </c>
      <c r="K46" s="8" t="s">
        <v>60</v>
      </c>
    </row>
    <row r="47" spans="1:11" x14ac:dyDescent="0.3">
      <c r="A47" s="2">
        <v>1142</v>
      </c>
      <c r="B47" s="4" t="s">
        <v>16</v>
      </c>
      <c r="C47" s="2" t="s">
        <v>122</v>
      </c>
      <c r="D47" s="29">
        <v>215664</v>
      </c>
      <c r="E47" s="43" t="s">
        <v>61</v>
      </c>
      <c r="F47" s="2">
        <v>4</v>
      </c>
      <c r="G47" s="2" t="s">
        <v>111</v>
      </c>
      <c r="H47" s="2">
        <v>1.7</v>
      </c>
      <c r="I47" s="2" t="s">
        <v>111</v>
      </c>
      <c r="J47" s="2">
        <v>1.7</v>
      </c>
      <c r="K47" s="8" t="s">
        <v>62</v>
      </c>
    </row>
    <row r="48" spans="1:11" x14ac:dyDescent="0.3">
      <c r="A48" s="2">
        <v>1142</v>
      </c>
      <c r="B48" s="4" t="s">
        <v>16</v>
      </c>
      <c r="C48" s="2" t="s">
        <v>122</v>
      </c>
      <c r="D48" s="29">
        <v>224112</v>
      </c>
      <c r="E48" s="43" t="s">
        <v>63</v>
      </c>
      <c r="F48" s="2">
        <v>5</v>
      </c>
      <c r="G48" s="2" t="s">
        <v>111</v>
      </c>
      <c r="H48" s="2">
        <v>1</v>
      </c>
      <c r="I48" s="2" t="s">
        <v>111</v>
      </c>
      <c r="J48" s="2">
        <v>1</v>
      </c>
      <c r="K48" s="8" t="s">
        <v>64</v>
      </c>
    </row>
    <row r="49" spans="1:11" x14ac:dyDescent="0.3">
      <c r="A49" s="2">
        <v>1142</v>
      </c>
      <c r="B49" s="4" t="s">
        <v>16</v>
      </c>
      <c r="C49" s="2" t="s">
        <v>122</v>
      </c>
      <c r="D49" s="29">
        <v>216784</v>
      </c>
      <c r="E49" s="43" t="s">
        <v>65</v>
      </c>
      <c r="F49" s="2">
        <v>6</v>
      </c>
      <c r="G49" s="2" t="s">
        <v>111</v>
      </c>
      <c r="H49" s="2">
        <v>1.5</v>
      </c>
      <c r="I49" s="2" t="s">
        <v>111</v>
      </c>
      <c r="J49" s="2">
        <v>1.5</v>
      </c>
      <c r="K49" s="8" t="s">
        <v>66</v>
      </c>
    </row>
    <row r="50" spans="1:11" x14ac:dyDescent="0.3">
      <c r="A50" s="2">
        <v>1142</v>
      </c>
      <c r="B50" s="4" t="s">
        <v>16</v>
      </c>
      <c r="C50" s="2" t="s">
        <v>122</v>
      </c>
      <c r="D50" s="29">
        <v>207814</v>
      </c>
      <c r="E50" s="43" t="s">
        <v>67</v>
      </c>
      <c r="F50" s="2">
        <v>7</v>
      </c>
      <c r="G50" s="2" t="s">
        <v>111</v>
      </c>
      <c r="H50" s="2">
        <v>13.1</v>
      </c>
      <c r="I50" s="2" t="s">
        <v>111</v>
      </c>
      <c r="J50" s="2">
        <v>13.1</v>
      </c>
      <c r="K50" s="8" t="s">
        <v>68</v>
      </c>
    </row>
    <row r="51" spans="1:11" x14ac:dyDescent="0.3">
      <c r="A51" s="2">
        <v>1142</v>
      </c>
      <c r="B51" s="4" t="s">
        <v>16</v>
      </c>
      <c r="C51" s="2" t="s">
        <v>122</v>
      </c>
      <c r="D51" s="30">
        <v>220662</v>
      </c>
      <c r="E51" s="43" t="s">
        <v>69</v>
      </c>
      <c r="F51" s="2">
        <v>8</v>
      </c>
      <c r="G51" s="2" t="s">
        <v>111</v>
      </c>
      <c r="H51" s="2">
        <v>7.2</v>
      </c>
      <c r="I51" s="2" t="s">
        <v>111</v>
      </c>
      <c r="J51" s="2">
        <v>7.2</v>
      </c>
      <c r="K51" s="8" t="s">
        <v>70</v>
      </c>
    </row>
    <row r="52" spans="1:11" x14ac:dyDescent="0.3">
      <c r="A52" s="2"/>
      <c r="B52" s="2"/>
      <c r="C52" s="2"/>
      <c r="D52" s="2"/>
      <c r="E52" s="43" t="s">
        <v>37</v>
      </c>
      <c r="F52" s="2">
        <v>9</v>
      </c>
      <c r="G52" s="2"/>
      <c r="H52" s="2">
        <v>17.899999999999999</v>
      </c>
      <c r="I52" s="2"/>
      <c r="J52" s="2">
        <v>17.899999999999999</v>
      </c>
      <c r="K52" s="1" t="s">
        <v>16</v>
      </c>
    </row>
    <row r="53" spans="1:11" x14ac:dyDescent="0.3">
      <c r="A53" s="2"/>
      <c r="B53" s="2"/>
      <c r="C53" s="2"/>
      <c r="D53" s="2"/>
      <c r="E53" s="39"/>
      <c r="F53" s="2"/>
      <c r="G53" s="2"/>
      <c r="H53" s="2"/>
      <c r="I53" s="2"/>
      <c r="J53" s="2"/>
      <c r="K53" s="2"/>
    </row>
    <row r="54" spans="1:11" x14ac:dyDescent="0.3">
      <c r="A54" s="2">
        <v>1142</v>
      </c>
      <c r="B54" s="4" t="s">
        <v>16</v>
      </c>
      <c r="C54" s="2" t="s">
        <v>103</v>
      </c>
      <c r="D54" s="13">
        <v>218888</v>
      </c>
      <c r="E54" s="44" t="s">
        <v>139</v>
      </c>
      <c r="F54" s="13">
        <v>1</v>
      </c>
      <c r="G54" s="2" t="s">
        <v>108</v>
      </c>
      <c r="H54" s="31">
        <v>11.7</v>
      </c>
      <c r="I54" s="2" t="s">
        <v>108</v>
      </c>
      <c r="J54" s="31">
        <v>11.7</v>
      </c>
      <c r="K54" s="2" t="s">
        <v>91</v>
      </c>
    </row>
    <row r="55" spans="1:11" x14ac:dyDescent="0.3">
      <c r="A55" s="2">
        <v>1142</v>
      </c>
      <c r="B55" s="4" t="s">
        <v>16</v>
      </c>
      <c r="C55" s="2" t="s">
        <v>103</v>
      </c>
      <c r="D55" s="13">
        <v>200865</v>
      </c>
      <c r="E55" s="44" t="s">
        <v>140</v>
      </c>
      <c r="F55" s="13">
        <v>2</v>
      </c>
      <c r="G55" s="2" t="s">
        <v>108</v>
      </c>
      <c r="H55" s="31">
        <v>1.8</v>
      </c>
      <c r="I55" s="2" t="s">
        <v>108</v>
      </c>
      <c r="J55" s="31">
        <v>1.8</v>
      </c>
      <c r="K55" s="2" t="s">
        <v>92</v>
      </c>
    </row>
    <row r="56" spans="1:11" x14ac:dyDescent="0.3">
      <c r="A56" s="2">
        <v>1142</v>
      </c>
      <c r="B56" s="4" t="s">
        <v>16</v>
      </c>
      <c r="C56" s="2" t="s">
        <v>103</v>
      </c>
      <c r="D56" s="13">
        <v>221734</v>
      </c>
      <c r="E56" s="44" t="s">
        <v>141</v>
      </c>
      <c r="F56" s="13">
        <v>3</v>
      </c>
      <c r="G56" s="2" t="s">
        <v>108</v>
      </c>
      <c r="H56" s="31">
        <v>3.9</v>
      </c>
      <c r="I56" s="2" t="s">
        <v>108</v>
      </c>
      <c r="J56" s="31">
        <v>3.9</v>
      </c>
      <c r="K56" s="2" t="s">
        <v>93</v>
      </c>
    </row>
    <row r="57" spans="1:11" x14ac:dyDescent="0.3">
      <c r="A57" s="2">
        <v>1142</v>
      </c>
      <c r="B57" s="4" t="s">
        <v>16</v>
      </c>
      <c r="C57" s="2" t="s">
        <v>103</v>
      </c>
      <c r="D57" s="13">
        <v>211869</v>
      </c>
      <c r="E57" s="45" t="s">
        <v>142</v>
      </c>
      <c r="F57" s="13">
        <v>4</v>
      </c>
      <c r="G57" s="2" t="s">
        <v>108</v>
      </c>
      <c r="H57" s="31">
        <v>7.8</v>
      </c>
      <c r="I57" s="2" t="s">
        <v>108</v>
      </c>
      <c r="J57" s="31">
        <v>7.8</v>
      </c>
      <c r="K57" s="2" t="s">
        <v>94</v>
      </c>
    </row>
    <row r="58" spans="1:11" x14ac:dyDescent="0.3">
      <c r="A58" s="2">
        <v>1142</v>
      </c>
      <c r="B58" s="4" t="s">
        <v>16</v>
      </c>
      <c r="C58" s="2" t="s">
        <v>103</v>
      </c>
      <c r="D58" s="32">
        <v>231960</v>
      </c>
      <c r="E58" s="42" t="s">
        <v>143</v>
      </c>
      <c r="F58" s="13">
        <v>5</v>
      </c>
      <c r="G58" s="2" t="s">
        <v>108</v>
      </c>
      <c r="H58" s="1">
        <v>7.8</v>
      </c>
      <c r="I58" s="2" t="s">
        <v>108</v>
      </c>
      <c r="J58" s="1">
        <v>7.8</v>
      </c>
      <c r="K58" s="3" t="s">
        <v>148</v>
      </c>
    </row>
    <row r="59" spans="1:11" x14ac:dyDescent="0.3">
      <c r="A59" s="2">
        <v>1142</v>
      </c>
      <c r="B59" s="4" t="s">
        <v>16</v>
      </c>
      <c r="C59" s="2" t="s">
        <v>103</v>
      </c>
      <c r="D59" s="13">
        <v>230955</v>
      </c>
      <c r="E59" s="46" t="s">
        <v>144</v>
      </c>
      <c r="F59" s="13">
        <v>6</v>
      </c>
      <c r="G59" s="2" t="s">
        <v>108</v>
      </c>
      <c r="H59" s="1">
        <v>4.5999999999999996</v>
      </c>
      <c r="I59" s="2" t="s">
        <v>108</v>
      </c>
      <c r="J59" s="1">
        <v>4.5999999999999996</v>
      </c>
      <c r="K59" s="2" t="s">
        <v>95</v>
      </c>
    </row>
    <row r="60" spans="1:11" x14ac:dyDescent="0.3">
      <c r="A60" s="2">
        <v>1142</v>
      </c>
      <c r="B60" s="4" t="s">
        <v>16</v>
      </c>
      <c r="C60" s="2" t="s">
        <v>103</v>
      </c>
      <c r="D60" s="13">
        <v>226848</v>
      </c>
      <c r="E60" s="44" t="s">
        <v>145</v>
      </c>
      <c r="F60" s="13">
        <v>7</v>
      </c>
      <c r="G60" s="2" t="s">
        <v>108</v>
      </c>
      <c r="H60" s="1">
        <v>2.4</v>
      </c>
      <c r="I60" s="2" t="s">
        <v>108</v>
      </c>
      <c r="J60" s="1">
        <v>2.4</v>
      </c>
      <c r="K60" s="2" t="s">
        <v>96</v>
      </c>
    </row>
    <row r="61" spans="1:11" x14ac:dyDescent="0.3">
      <c r="A61" s="2">
        <v>1142</v>
      </c>
      <c r="B61" s="4" t="s">
        <v>16</v>
      </c>
      <c r="C61" s="2" t="s">
        <v>103</v>
      </c>
      <c r="D61" s="13">
        <v>213682</v>
      </c>
      <c r="E61" s="44" t="s">
        <v>146</v>
      </c>
      <c r="F61" s="13">
        <v>8</v>
      </c>
      <c r="G61" s="2" t="s">
        <v>108</v>
      </c>
      <c r="H61" s="1">
        <v>2.5</v>
      </c>
      <c r="I61" s="2" t="s">
        <v>108</v>
      </c>
      <c r="J61" s="1">
        <v>2.5</v>
      </c>
      <c r="K61" s="2" t="s">
        <v>97</v>
      </c>
    </row>
    <row r="62" spans="1:11" x14ac:dyDescent="0.3">
      <c r="A62" s="2">
        <v>1142</v>
      </c>
      <c r="B62" s="4" t="s">
        <v>16</v>
      </c>
      <c r="C62" s="2" t="s">
        <v>103</v>
      </c>
      <c r="D62" s="13">
        <v>215419</v>
      </c>
      <c r="E62" s="44" t="s">
        <v>147</v>
      </c>
      <c r="F62" s="13">
        <v>9</v>
      </c>
      <c r="G62" s="2" t="s">
        <v>108</v>
      </c>
      <c r="H62" s="1">
        <v>4.8</v>
      </c>
      <c r="I62" s="2" t="s">
        <v>108</v>
      </c>
      <c r="J62" s="1">
        <v>4.8</v>
      </c>
      <c r="K62" s="2" t="s">
        <v>98</v>
      </c>
    </row>
    <row r="63" spans="1:11" x14ac:dyDescent="0.3">
      <c r="A63" s="2"/>
      <c r="B63" s="2"/>
      <c r="C63" s="2"/>
      <c r="D63" s="13"/>
      <c r="E63" s="44" t="s">
        <v>15</v>
      </c>
      <c r="F63" s="13">
        <v>10</v>
      </c>
      <c r="G63" s="2"/>
      <c r="H63" s="1">
        <v>9.6999999999999993</v>
      </c>
      <c r="I63" s="2"/>
      <c r="J63" s="1">
        <v>9.6999999999999993</v>
      </c>
      <c r="K63" s="1" t="s">
        <v>16</v>
      </c>
    </row>
    <row r="64" spans="1:11" x14ac:dyDescent="0.3">
      <c r="A64" s="2"/>
      <c r="B64" s="2"/>
      <c r="C64" s="2"/>
      <c r="D64" s="13"/>
      <c r="E64" s="44"/>
      <c r="F64" s="13"/>
      <c r="G64" s="2"/>
      <c r="H64" s="2"/>
      <c r="I64" s="2"/>
      <c r="J64" s="2"/>
      <c r="K64" s="2"/>
    </row>
    <row r="65" spans="1:11" x14ac:dyDescent="0.3">
      <c r="A65" s="2">
        <v>1142</v>
      </c>
      <c r="B65" s="4" t="s">
        <v>16</v>
      </c>
      <c r="C65" s="2" t="s">
        <v>121</v>
      </c>
      <c r="D65" s="25">
        <v>226594</v>
      </c>
      <c r="E65" s="36" t="s">
        <v>71</v>
      </c>
      <c r="F65" s="2">
        <v>1</v>
      </c>
      <c r="G65" s="2" t="s">
        <v>106</v>
      </c>
      <c r="H65" s="24">
        <v>34</v>
      </c>
      <c r="I65" s="2" t="s">
        <v>106</v>
      </c>
      <c r="J65" s="24">
        <v>34</v>
      </c>
      <c r="K65" s="4" t="s">
        <v>72</v>
      </c>
    </row>
    <row r="66" spans="1:11" x14ac:dyDescent="0.3">
      <c r="A66" s="2">
        <v>1142</v>
      </c>
      <c r="B66" s="4" t="s">
        <v>16</v>
      </c>
      <c r="C66" s="2" t="s">
        <v>121</v>
      </c>
      <c r="D66" s="25">
        <v>215341</v>
      </c>
      <c r="E66" s="36" t="s">
        <v>73</v>
      </c>
      <c r="F66" s="2">
        <v>2</v>
      </c>
      <c r="G66" s="2" t="s">
        <v>106</v>
      </c>
      <c r="H66" s="24">
        <v>10.199999999999999</v>
      </c>
      <c r="I66" s="2" t="s">
        <v>106</v>
      </c>
      <c r="J66" s="24">
        <v>10.199999999999999</v>
      </c>
      <c r="K66" s="4" t="s">
        <v>74</v>
      </c>
    </row>
    <row r="67" spans="1:11" x14ac:dyDescent="0.3">
      <c r="A67" s="2">
        <v>1142</v>
      </c>
      <c r="B67" s="4" t="s">
        <v>16</v>
      </c>
      <c r="C67" s="2" t="s">
        <v>121</v>
      </c>
      <c r="D67" s="25">
        <v>227276</v>
      </c>
      <c r="E67" s="36" t="s">
        <v>75</v>
      </c>
      <c r="F67" s="2">
        <v>3</v>
      </c>
      <c r="G67" s="2" t="s">
        <v>106</v>
      </c>
      <c r="H67" s="24">
        <v>11.1</v>
      </c>
      <c r="I67" s="2" t="s">
        <v>106</v>
      </c>
      <c r="J67" s="24">
        <v>11.1</v>
      </c>
      <c r="K67" s="4" t="s">
        <v>76</v>
      </c>
    </row>
    <row r="68" spans="1:11" x14ac:dyDescent="0.3">
      <c r="A68" s="2">
        <v>1142</v>
      </c>
      <c r="B68" s="4" t="s">
        <v>16</v>
      </c>
      <c r="C68" s="2" t="s">
        <v>121</v>
      </c>
      <c r="D68" s="25">
        <v>230656</v>
      </c>
      <c r="E68" s="36" t="s">
        <v>77</v>
      </c>
      <c r="F68" s="2">
        <v>4</v>
      </c>
      <c r="G68" s="2" t="s">
        <v>106</v>
      </c>
      <c r="H68" s="24">
        <v>1.2</v>
      </c>
      <c r="I68" s="2" t="s">
        <v>106</v>
      </c>
      <c r="J68" s="24">
        <v>1.2</v>
      </c>
      <c r="K68" s="4" t="s">
        <v>78</v>
      </c>
    </row>
    <row r="69" spans="1:11" x14ac:dyDescent="0.3">
      <c r="A69" s="2">
        <v>1142</v>
      </c>
      <c r="B69" s="4" t="s">
        <v>16</v>
      </c>
      <c r="C69" s="2" t="s">
        <v>121</v>
      </c>
      <c r="D69" s="25">
        <v>323351</v>
      </c>
      <c r="E69" s="36" t="s">
        <v>79</v>
      </c>
      <c r="F69" s="2">
        <v>5</v>
      </c>
      <c r="G69" s="2" t="s">
        <v>106</v>
      </c>
      <c r="H69" s="24">
        <v>10.1</v>
      </c>
      <c r="I69" s="2" t="s">
        <v>106</v>
      </c>
      <c r="J69" s="24">
        <v>10.1</v>
      </c>
      <c r="K69" s="4" t="s">
        <v>80</v>
      </c>
    </row>
    <row r="70" spans="1:11" x14ac:dyDescent="0.3">
      <c r="A70" s="2">
        <v>1142</v>
      </c>
      <c r="B70" s="4" t="s">
        <v>16</v>
      </c>
      <c r="C70" s="2" t="s">
        <v>121</v>
      </c>
      <c r="D70" s="25">
        <v>329980</v>
      </c>
      <c r="E70" s="36" t="s">
        <v>81</v>
      </c>
      <c r="F70" s="2">
        <v>6</v>
      </c>
      <c r="G70" s="2" t="s">
        <v>106</v>
      </c>
      <c r="H70" s="24">
        <v>0.1</v>
      </c>
      <c r="I70" s="2" t="s">
        <v>106</v>
      </c>
      <c r="J70" s="24">
        <v>0.1</v>
      </c>
      <c r="K70" s="4" t="s">
        <v>82</v>
      </c>
    </row>
    <row r="71" spans="1:11" x14ac:dyDescent="0.3">
      <c r="A71" s="2">
        <v>1142</v>
      </c>
      <c r="B71" s="4" t="s">
        <v>16</v>
      </c>
      <c r="C71" s="2" t="s">
        <v>121</v>
      </c>
      <c r="D71" s="25">
        <v>231390</v>
      </c>
      <c r="E71" s="47" t="s">
        <v>99</v>
      </c>
      <c r="F71" s="2">
        <v>7</v>
      </c>
      <c r="G71" s="2" t="s">
        <v>106</v>
      </c>
      <c r="H71" s="24">
        <v>5.2</v>
      </c>
      <c r="I71" s="2" t="s">
        <v>106</v>
      </c>
      <c r="J71" s="24">
        <v>5.2</v>
      </c>
      <c r="K71" s="4" t="s">
        <v>100</v>
      </c>
    </row>
    <row r="72" spans="1:11" x14ac:dyDescent="0.3">
      <c r="A72" s="2">
        <v>1142</v>
      </c>
      <c r="B72" s="4" t="s">
        <v>16</v>
      </c>
      <c r="C72" s="2" t="s">
        <v>121</v>
      </c>
      <c r="D72" s="33">
        <v>225774</v>
      </c>
      <c r="E72" s="47" t="s">
        <v>83</v>
      </c>
      <c r="F72" s="2">
        <v>8</v>
      </c>
      <c r="G72" s="2" t="s">
        <v>106</v>
      </c>
      <c r="H72" s="24">
        <v>5.0999999999999996</v>
      </c>
      <c r="I72" s="2" t="s">
        <v>106</v>
      </c>
      <c r="J72" s="24">
        <v>5.0999999999999996</v>
      </c>
      <c r="K72" s="4" t="s">
        <v>84</v>
      </c>
    </row>
    <row r="73" spans="1:11" x14ac:dyDescent="0.3">
      <c r="A73" s="2">
        <v>1142</v>
      </c>
      <c r="B73" s="4" t="s">
        <v>16</v>
      </c>
      <c r="C73" s="2" t="s">
        <v>121</v>
      </c>
      <c r="D73" s="25">
        <v>397506</v>
      </c>
      <c r="E73" s="36" t="s">
        <v>85</v>
      </c>
      <c r="F73" s="2">
        <v>9</v>
      </c>
      <c r="G73" s="2" t="s">
        <v>106</v>
      </c>
      <c r="H73" s="24">
        <v>7.1</v>
      </c>
      <c r="I73" s="2" t="s">
        <v>106</v>
      </c>
      <c r="J73" s="24">
        <v>7.1</v>
      </c>
      <c r="K73" s="4" t="s">
        <v>86</v>
      </c>
    </row>
    <row r="74" spans="1:11" x14ac:dyDescent="0.3">
      <c r="A74" s="2">
        <v>1142</v>
      </c>
      <c r="B74" s="4" t="s">
        <v>16</v>
      </c>
      <c r="C74" s="2" t="s">
        <v>121</v>
      </c>
      <c r="D74" s="25">
        <v>231363</v>
      </c>
      <c r="E74" s="36" t="s">
        <v>149</v>
      </c>
      <c r="F74" s="2">
        <v>10</v>
      </c>
      <c r="G74" s="2" t="s">
        <v>106</v>
      </c>
      <c r="H74" s="24">
        <v>3.2</v>
      </c>
      <c r="I74" s="2" t="s">
        <v>106</v>
      </c>
      <c r="J74" s="24">
        <v>3.2</v>
      </c>
      <c r="K74" s="25" t="s">
        <v>150</v>
      </c>
    </row>
    <row r="75" spans="1:11" x14ac:dyDescent="0.3">
      <c r="A75" s="2">
        <v>1142</v>
      </c>
      <c r="B75" s="4" t="s">
        <v>16</v>
      </c>
      <c r="C75" s="2" t="s">
        <v>121</v>
      </c>
      <c r="D75" s="25">
        <v>208802</v>
      </c>
      <c r="E75" s="36" t="s">
        <v>87</v>
      </c>
      <c r="F75" s="2">
        <v>11</v>
      </c>
      <c r="G75" s="2" t="s">
        <v>106</v>
      </c>
      <c r="H75" s="24">
        <v>6.3</v>
      </c>
      <c r="I75" s="2" t="s">
        <v>106</v>
      </c>
      <c r="J75" s="24">
        <v>6.3</v>
      </c>
      <c r="K75" s="4" t="s">
        <v>88</v>
      </c>
    </row>
    <row r="76" spans="1:11" x14ac:dyDescent="0.3">
      <c r="A76" s="2">
        <v>1142</v>
      </c>
      <c r="B76" s="4" t="s">
        <v>16</v>
      </c>
      <c r="C76" s="2" t="s">
        <v>121</v>
      </c>
      <c r="D76" s="34">
        <v>202614</v>
      </c>
      <c r="E76" s="48" t="s">
        <v>89</v>
      </c>
      <c r="F76" s="9">
        <v>12</v>
      </c>
      <c r="G76" s="2" t="s">
        <v>106</v>
      </c>
      <c r="H76" s="24">
        <v>9.9</v>
      </c>
      <c r="I76" s="2" t="s">
        <v>106</v>
      </c>
      <c r="J76" s="24">
        <v>9.9</v>
      </c>
      <c r="K76" s="4" t="s">
        <v>90</v>
      </c>
    </row>
    <row r="77" spans="1:11" x14ac:dyDescent="0.3">
      <c r="A77" s="2"/>
      <c r="B77" s="2"/>
      <c r="C77" s="2"/>
      <c r="D77" s="2"/>
      <c r="E77" s="44" t="s">
        <v>15</v>
      </c>
      <c r="F77" s="2"/>
      <c r="G77" s="2"/>
      <c r="H77" s="24">
        <v>1.5</v>
      </c>
      <c r="I77" s="2"/>
      <c r="J77" s="24">
        <v>1.5</v>
      </c>
      <c r="K77" s="4" t="s">
        <v>16</v>
      </c>
    </row>
  </sheetData>
  <mergeCells count="1">
    <mergeCell ref="A1:K1"/>
  </mergeCells>
  <conditionalFormatting sqref="D14">
    <cfRule type="duplicateValues" dxfId="15" priority="20"/>
  </conditionalFormatting>
  <conditionalFormatting sqref="D15">
    <cfRule type="duplicateValues" dxfId="14" priority="19"/>
  </conditionalFormatting>
  <conditionalFormatting sqref="D16">
    <cfRule type="duplicateValues" dxfId="13" priority="18"/>
  </conditionalFormatting>
  <conditionalFormatting sqref="D17">
    <cfRule type="duplicateValues" dxfId="12" priority="15"/>
  </conditionalFormatting>
  <conditionalFormatting sqref="D18">
    <cfRule type="duplicateValues" dxfId="11" priority="14"/>
  </conditionalFormatting>
  <conditionalFormatting sqref="D19">
    <cfRule type="duplicateValues" dxfId="10" priority="11"/>
  </conditionalFormatting>
  <conditionalFormatting sqref="D20">
    <cfRule type="duplicateValues" dxfId="9" priority="17"/>
  </conditionalFormatting>
  <conditionalFormatting sqref="D21">
    <cfRule type="duplicateValues" dxfId="8" priority="16"/>
  </conditionalFormatting>
  <conditionalFormatting sqref="D22">
    <cfRule type="duplicateValues" dxfId="7" priority="13"/>
  </conditionalFormatting>
  <conditionalFormatting sqref="D23">
    <cfRule type="duplicateValues" dxfId="6" priority="12"/>
  </conditionalFormatting>
  <conditionalFormatting sqref="D54">
    <cfRule type="duplicateValues" dxfId="5" priority="5"/>
  </conditionalFormatting>
  <conditionalFormatting sqref="D55">
    <cfRule type="duplicateValues" dxfId="4" priority="4"/>
  </conditionalFormatting>
  <conditionalFormatting sqref="D56:D57">
    <cfRule type="duplicateValues" dxfId="3" priority="3"/>
  </conditionalFormatting>
  <conditionalFormatting sqref="D58">
    <cfRule type="duplicateValues" dxfId="2" priority="1"/>
  </conditionalFormatting>
  <conditionalFormatting sqref="D59:D61">
    <cfRule type="duplicateValues" dxfId="1" priority="6"/>
  </conditionalFormatting>
  <conditionalFormatting sqref="D62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27"/>
  <sheetViews>
    <sheetView topLeftCell="J1" workbookViewId="0">
      <pane ySplit="2" topLeftCell="A102" activePane="bottomLeft" state="frozen"/>
      <selection activeCell="J1" sqref="J1"/>
      <selection pane="bottomLeft" activeCell="P129" sqref="P129"/>
    </sheetView>
  </sheetViews>
  <sheetFormatPr defaultColWidth="9.109375" defaultRowHeight="14.4" x14ac:dyDescent="0.3"/>
  <cols>
    <col min="1" max="1" width="5.5546875" style="23" bestFit="1" customWidth="1"/>
    <col min="2" max="2" width="10.5546875" style="23" bestFit="1" customWidth="1"/>
    <col min="3" max="3" width="8.44140625" style="23" bestFit="1" customWidth="1"/>
    <col min="4" max="4" width="5.109375" style="23" bestFit="1" customWidth="1"/>
    <col min="5" max="6" width="8.33203125" style="23" bestFit="1" customWidth="1"/>
    <col min="7" max="7" width="7" style="23" bestFit="1" customWidth="1"/>
    <col min="8" max="8" width="25.5546875" style="23" bestFit="1" customWidth="1"/>
    <col min="9" max="9" width="14.88671875" style="23" bestFit="1" customWidth="1"/>
    <col min="10" max="10" width="8.88671875" style="23" bestFit="1" customWidth="1"/>
    <col min="11" max="11" width="5.33203125" style="23" bestFit="1" customWidth="1"/>
    <col min="12" max="12" width="7.6640625" style="23" bestFit="1" customWidth="1"/>
    <col min="13" max="13" width="14.6640625" style="23" bestFit="1" customWidth="1"/>
    <col min="14" max="14" width="8.6640625" style="23" bestFit="1" customWidth="1"/>
    <col min="15" max="15" width="37.44140625" style="23" bestFit="1" customWidth="1"/>
    <col min="16" max="16" width="9.44140625" style="23" bestFit="1" customWidth="1"/>
    <col min="17" max="17" width="11.88671875" style="23" bestFit="1" customWidth="1"/>
    <col min="18" max="19" width="9.109375" style="23"/>
    <col min="20" max="20" width="11.5546875" style="23" bestFit="1" customWidth="1"/>
    <col min="21" max="21" width="5.88671875" style="23" bestFit="1" customWidth="1"/>
    <col min="22" max="22" width="8" style="23" bestFit="1" customWidth="1"/>
    <col min="23" max="23" width="19.6640625" style="23" bestFit="1" customWidth="1"/>
    <col min="24" max="24" width="10" style="23" bestFit="1" customWidth="1"/>
    <col min="25" max="16384" width="9.109375" style="23"/>
  </cols>
  <sheetData>
    <row r="1" spans="1:24" ht="15.6" x14ac:dyDescent="0.3">
      <c r="S1" s="60">
        <f>SUBTOTAL(9,S3:S127)</f>
        <v>8501.8959649975732</v>
      </c>
    </row>
    <row r="2" spans="1:24" ht="43.2" x14ac:dyDescent="0.3">
      <c r="A2" s="20" t="s">
        <v>112</v>
      </c>
      <c r="B2" s="20" t="s">
        <v>184</v>
      </c>
      <c r="C2" s="20" t="s">
        <v>152</v>
      </c>
      <c r="D2" s="20" t="s">
        <v>185</v>
      </c>
      <c r="E2" s="20" t="s">
        <v>186</v>
      </c>
      <c r="F2" s="20" t="s">
        <v>187</v>
      </c>
      <c r="G2" s="20" t="s">
        <v>115</v>
      </c>
      <c r="H2" s="20" t="s">
        <v>116</v>
      </c>
      <c r="I2" s="20" t="s">
        <v>188</v>
      </c>
      <c r="J2" s="20" t="s">
        <v>189</v>
      </c>
      <c r="K2" s="20" t="s">
        <v>190</v>
      </c>
      <c r="L2" s="20" t="s">
        <v>153</v>
      </c>
      <c r="M2" s="20" t="s">
        <v>114</v>
      </c>
      <c r="N2" s="20" t="s">
        <v>155</v>
      </c>
      <c r="O2" s="20" t="s">
        <v>155</v>
      </c>
      <c r="P2" s="20" t="s">
        <v>158</v>
      </c>
      <c r="Q2" s="20" t="s">
        <v>157</v>
      </c>
      <c r="R2" s="20" t="s">
        <v>191</v>
      </c>
      <c r="S2" s="21" t="s">
        <v>262</v>
      </c>
      <c r="T2" s="20" t="s">
        <v>192</v>
      </c>
      <c r="U2" s="20" t="s">
        <v>193</v>
      </c>
      <c r="V2" s="20" t="s">
        <v>194</v>
      </c>
      <c r="W2" s="20" t="s">
        <v>195</v>
      </c>
      <c r="X2" s="20" t="s">
        <v>196</v>
      </c>
    </row>
    <row r="3" spans="1:24" x14ac:dyDescent="0.3">
      <c r="A3" s="17">
        <v>1142</v>
      </c>
      <c r="B3" s="17" t="s">
        <v>161</v>
      </c>
      <c r="C3" s="18">
        <v>46057</v>
      </c>
      <c r="D3" s="17" t="s">
        <v>197</v>
      </c>
      <c r="E3" s="17">
        <v>1</v>
      </c>
      <c r="F3" s="17">
        <v>10106</v>
      </c>
      <c r="G3" s="17">
        <v>206797</v>
      </c>
      <c r="H3" s="17" t="s">
        <v>198</v>
      </c>
      <c r="I3" s="17" t="s">
        <v>199</v>
      </c>
      <c r="J3" s="17" t="s">
        <v>200</v>
      </c>
      <c r="K3" s="17" t="s">
        <v>201</v>
      </c>
      <c r="L3" s="17" t="s">
        <v>105</v>
      </c>
      <c r="M3" s="17" t="s">
        <v>101</v>
      </c>
      <c r="N3" s="17">
        <v>6015285</v>
      </c>
      <c r="O3" s="17" t="s">
        <v>162</v>
      </c>
      <c r="P3" s="17" t="s">
        <v>164</v>
      </c>
      <c r="Q3" s="17" t="s">
        <v>163</v>
      </c>
      <c r="R3" s="19">
        <v>25.7</v>
      </c>
      <c r="S3" s="19">
        <f>+R3/1.0285</f>
        <v>24.987846378220709</v>
      </c>
      <c r="T3" s="22">
        <v>0.83471064814814822</v>
      </c>
      <c r="U3" s="17">
        <v>1</v>
      </c>
      <c r="V3" s="17">
        <v>5602801</v>
      </c>
      <c r="W3" s="17" t="s">
        <v>202</v>
      </c>
      <c r="X3" s="17">
        <v>100527265</v>
      </c>
    </row>
    <row r="4" spans="1:24" x14ac:dyDescent="0.3">
      <c r="A4" s="17">
        <v>1142</v>
      </c>
      <c r="B4" s="17" t="s">
        <v>161</v>
      </c>
      <c r="C4" s="18">
        <v>46057</v>
      </c>
      <c r="D4" s="17" t="s">
        <v>197</v>
      </c>
      <c r="E4" s="17">
        <v>1</v>
      </c>
      <c r="F4" s="17">
        <v>10109</v>
      </c>
      <c r="G4" s="17">
        <v>206888</v>
      </c>
      <c r="H4" s="17" t="s">
        <v>203</v>
      </c>
      <c r="I4" s="17" t="s">
        <v>199</v>
      </c>
      <c r="J4" s="17" t="s">
        <v>200</v>
      </c>
      <c r="K4" s="17" t="s">
        <v>201</v>
      </c>
      <c r="L4" s="17" t="s">
        <v>105</v>
      </c>
      <c r="M4" s="17" t="s">
        <v>101</v>
      </c>
      <c r="N4" s="17">
        <v>6015285</v>
      </c>
      <c r="O4" s="17" t="s">
        <v>162</v>
      </c>
      <c r="P4" s="17" t="s">
        <v>164</v>
      </c>
      <c r="Q4" s="17" t="s">
        <v>163</v>
      </c>
      <c r="R4" s="19">
        <v>60.7</v>
      </c>
      <c r="S4" s="19">
        <f t="shared" ref="S4:S67" si="0">+R4/1.0285</f>
        <v>59.017987360233356</v>
      </c>
      <c r="T4" s="22">
        <v>0.83546296296296296</v>
      </c>
      <c r="U4" s="17">
        <v>2</v>
      </c>
      <c r="V4" s="17">
        <v>5602801</v>
      </c>
      <c r="W4" s="17" t="s">
        <v>202</v>
      </c>
      <c r="X4" s="17">
        <v>100527265</v>
      </c>
    </row>
    <row r="5" spans="1:24" x14ac:dyDescent="0.3">
      <c r="A5" s="17">
        <v>1142</v>
      </c>
      <c r="B5" s="17" t="s">
        <v>161</v>
      </c>
      <c r="C5" s="18">
        <v>46057</v>
      </c>
      <c r="D5" s="17" t="s">
        <v>197</v>
      </c>
      <c r="E5" s="17">
        <v>1</v>
      </c>
      <c r="F5" s="17">
        <v>10103</v>
      </c>
      <c r="G5" s="17">
        <v>208801</v>
      </c>
      <c r="H5" s="17" t="s">
        <v>204</v>
      </c>
      <c r="I5" s="17" t="s">
        <v>199</v>
      </c>
      <c r="J5" s="17" t="s">
        <v>200</v>
      </c>
      <c r="K5" s="17" t="s">
        <v>201</v>
      </c>
      <c r="L5" s="17" t="s">
        <v>105</v>
      </c>
      <c r="M5" s="17" t="s">
        <v>101</v>
      </c>
      <c r="N5" s="17">
        <v>6015285</v>
      </c>
      <c r="O5" s="17" t="s">
        <v>162</v>
      </c>
      <c r="P5" s="17" t="s">
        <v>164</v>
      </c>
      <c r="Q5" s="17" t="s">
        <v>163</v>
      </c>
      <c r="R5" s="19">
        <v>32.299999999999997</v>
      </c>
      <c r="S5" s="19">
        <f t="shared" si="0"/>
        <v>31.404958677685947</v>
      </c>
      <c r="T5" s="22">
        <v>0.83387731481481486</v>
      </c>
      <c r="U5" s="17">
        <v>1</v>
      </c>
      <c r="V5" s="17">
        <v>5602801</v>
      </c>
      <c r="W5" s="17" t="s">
        <v>202</v>
      </c>
      <c r="X5" s="17">
        <v>100527265</v>
      </c>
    </row>
    <row r="6" spans="1:24" x14ac:dyDescent="0.3">
      <c r="A6" s="17">
        <v>1142</v>
      </c>
      <c r="B6" s="17" t="s">
        <v>161</v>
      </c>
      <c r="C6" s="18">
        <v>46057</v>
      </c>
      <c r="D6" s="17" t="s">
        <v>197</v>
      </c>
      <c r="E6" s="17">
        <v>1</v>
      </c>
      <c r="F6" s="17">
        <v>10108</v>
      </c>
      <c r="G6" s="17">
        <v>211158</v>
      </c>
      <c r="H6" s="17" t="s">
        <v>205</v>
      </c>
      <c r="I6" s="17" t="s">
        <v>199</v>
      </c>
      <c r="J6" s="17" t="s">
        <v>200</v>
      </c>
      <c r="K6" s="17" t="s">
        <v>201</v>
      </c>
      <c r="L6" s="17" t="s">
        <v>105</v>
      </c>
      <c r="M6" s="17" t="s">
        <v>101</v>
      </c>
      <c r="N6" s="17">
        <v>6015285</v>
      </c>
      <c r="O6" s="17" t="s">
        <v>162</v>
      </c>
      <c r="P6" s="17" t="s">
        <v>164</v>
      </c>
      <c r="Q6" s="17" t="s">
        <v>163</v>
      </c>
      <c r="R6" s="19">
        <v>60.6</v>
      </c>
      <c r="S6" s="19">
        <f t="shared" si="0"/>
        <v>58.920758385999029</v>
      </c>
      <c r="T6" s="22">
        <v>0.8351736111111111</v>
      </c>
      <c r="U6" s="17">
        <v>2</v>
      </c>
      <c r="V6" s="17">
        <v>5602801</v>
      </c>
      <c r="W6" s="17" t="s">
        <v>202</v>
      </c>
      <c r="X6" s="17">
        <v>100527265</v>
      </c>
    </row>
    <row r="7" spans="1:24" x14ac:dyDescent="0.3">
      <c r="A7" s="17">
        <v>1142</v>
      </c>
      <c r="B7" s="17" t="s">
        <v>161</v>
      </c>
      <c r="C7" s="18">
        <v>46057</v>
      </c>
      <c r="D7" s="17" t="s">
        <v>197</v>
      </c>
      <c r="E7" s="17">
        <v>1</v>
      </c>
      <c r="F7" s="17">
        <v>10107</v>
      </c>
      <c r="G7" s="17">
        <v>212466</v>
      </c>
      <c r="H7" s="17" t="s">
        <v>206</v>
      </c>
      <c r="I7" s="17" t="s">
        <v>199</v>
      </c>
      <c r="J7" s="17" t="s">
        <v>200</v>
      </c>
      <c r="K7" s="17" t="s">
        <v>201</v>
      </c>
      <c r="L7" s="17" t="s">
        <v>105</v>
      </c>
      <c r="M7" s="17" t="s">
        <v>101</v>
      </c>
      <c r="N7" s="17">
        <v>6015285</v>
      </c>
      <c r="O7" s="17" t="s">
        <v>162</v>
      </c>
      <c r="P7" s="17" t="s">
        <v>164</v>
      </c>
      <c r="Q7" s="17" t="s">
        <v>163</v>
      </c>
      <c r="R7" s="19">
        <v>18.399999999999999</v>
      </c>
      <c r="S7" s="19">
        <f t="shared" si="0"/>
        <v>17.890131259115215</v>
      </c>
      <c r="T7" s="22">
        <v>0.83490740740740732</v>
      </c>
      <c r="U7" s="17">
        <v>1</v>
      </c>
      <c r="V7" s="17">
        <v>5602801</v>
      </c>
      <c r="W7" s="17" t="s">
        <v>202</v>
      </c>
      <c r="X7" s="17">
        <v>100527265</v>
      </c>
    </row>
    <row r="8" spans="1:24" x14ac:dyDescent="0.3">
      <c r="A8" s="17">
        <v>1142</v>
      </c>
      <c r="B8" s="17" t="s">
        <v>161</v>
      </c>
      <c r="C8" s="18">
        <v>46057</v>
      </c>
      <c r="D8" s="17" t="s">
        <v>197</v>
      </c>
      <c r="E8" s="17">
        <v>1</v>
      </c>
      <c r="F8" s="17">
        <v>10110</v>
      </c>
      <c r="G8" s="17">
        <v>214603</v>
      </c>
      <c r="H8" s="17" t="s">
        <v>207</v>
      </c>
      <c r="I8" s="17" t="s">
        <v>199</v>
      </c>
      <c r="J8" s="17" t="s">
        <v>200</v>
      </c>
      <c r="K8" s="17" t="s">
        <v>201</v>
      </c>
      <c r="L8" s="17" t="s">
        <v>105</v>
      </c>
      <c r="M8" s="17" t="s">
        <v>101</v>
      </c>
      <c r="N8" s="17">
        <v>6015285</v>
      </c>
      <c r="O8" s="17" t="s">
        <v>162</v>
      </c>
      <c r="P8" s="17" t="s">
        <v>164</v>
      </c>
      <c r="Q8" s="17" t="s">
        <v>163</v>
      </c>
      <c r="R8" s="19">
        <v>45.1</v>
      </c>
      <c r="S8" s="19">
        <f t="shared" si="0"/>
        <v>43.850267379679146</v>
      </c>
      <c r="T8" s="22">
        <v>0.83568287037037037</v>
      </c>
      <c r="U8" s="17">
        <v>2</v>
      </c>
      <c r="V8" s="17">
        <v>5602801</v>
      </c>
      <c r="W8" s="17" t="s">
        <v>202</v>
      </c>
      <c r="X8" s="17">
        <v>100527265</v>
      </c>
    </row>
    <row r="9" spans="1:24" x14ac:dyDescent="0.3">
      <c r="A9" s="17">
        <v>1142</v>
      </c>
      <c r="B9" s="17" t="s">
        <v>161</v>
      </c>
      <c r="C9" s="18">
        <v>46057</v>
      </c>
      <c r="D9" s="17" t="s">
        <v>197</v>
      </c>
      <c r="E9" s="17">
        <v>1</v>
      </c>
      <c r="F9" s="17">
        <v>10102</v>
      </c>
      <c r="G9" s="17">
        <v>214908</v>
      </c>
      <c r="H9" s="17" t="s">
        <v>208</v>
      </c>
      <c r="I9" s="17" t="s">
        <v>199</v>
      </c>
      <c r="J9" s="17" t="s">
        <v>200</v>
      </c>
      <c r="K9" s="17" t="s">
        <v>201</v>
      </c>
      <c r="L9" s="17" t="s">
        <v>105</v>
      </c>
      <c r="M9" s="17" t="s">
        <v>101</v>
      </c>
      <c r="N9" s="17">
        <v>6015285</v>
      </c>
      <c r="O9" s="17" t="s">
        <v>162</v>
      </c>
      <c r="P9" s="17" t="s">
        <v>164</v>
      </c>
      <c r="Q9" s="17" t="s">
        <v>163</v>
      </c>
      <c r="R9" s="19">
        <v>69.8</v>
      </c>
      <c r="S9" s="19">
        <f t="shared" si="0"/>
        <v>67.86582401555664</v>
      </c>
      <c r="T9" s="22">
        <v>0.83363425925925927</v>
      </c>
      <c r="U9" s="17">
        <v>2</v>
      </c>
      <c r="V9" s="17">
        <v>5602801</v>
      </c>
      <c r="W9" s="17" t="s">
        <v>202</v>
      </c>
      <c r="X9" s="17">
        <v>100527265</v>
      </c>
    </row>
    <row r="10" spans="1:24" x14ac:dyDescent="0.3">
      <c r="A10" s="17">
        <v>1142</v>
      </c>
      <c r="B10" s="17" t="s">
        <v>161</v>
      </c>
      <c r="C10" s="18">
        <v>46057</v>
      </c>
      <c r="D10" s="17" t="s">
        <v>197</v>
      </c>
      <c r="E10" s="17">
        <v>1</v>
      </c>
      <c r="F10" s="17">
        <v>10105</v>
      </c>
      <c r="G10" s="17">
        <v>220557</v>
      </c>
      <c r="H10" s="17" t="s">
        <v>209</v>
      </c>
      <c r="I10" s="17" t="s">
        <v>199</v>
      </c>
      <c r="J10" s="17" t="s">
        <v>200</v>
      </c>
      <c r="K10" s="17" t="s">
        <v>201</v>
      </c>
      <c r="L10" s="17" t="s">
        <v>105</v>
      </c>
      <c r="M10" s="17" t="s">
        <v>101</v>
      </c>
      <c r="N10" s="17">
        <v>6015285</v>
      </c>
      <c r="O10" s="17" t="s">
        <v>162</v>
      </c>
      <c r="P10" s="17" t="s">
        <v>164</v>
      </c>
      <c r="Q10" s="17" t="s">
        <v>163</v>
      </c>
      <c r="R10" s="19">
        <v>71.8</v>
      </c>
      <c r="S10" s="19">
        <f t="shared" si="0"/>
        <v>69.810403500243069</v>
      </c>
      <c r="T10" s="22">
        <v>0.83449074074074081</v>
      </c>
      <c r="U10" s="17">
        <v>3</v>
      </c>
      <c r="V10" s="17">
        <v>5602801</v>
      </c>
      <c r="W10" s="17" t="s">
        <v>202</v>
      </c>
      <c r="X10" s="17">
        <v>100527265</v>
      </c>
    </row>
    <row r="11" spans="1:24" x14ac:dyDescent="0.3">
      <c r="A11" s="17">
        <v>1142</v>
      </c>
      <c r="B11" s="17" t="s">
        <v>161</v>
      </c>
      <c r="C11" s="18">
        <v>46057</v>
      </c>
      <c r="D11" s="17" t="s">
        <v>197</v>
      </c>
      <c r="E11" s="17">
        <v>1</v>
      </c>
      <c r="F11" s="17">
        <v>10104</v>
      </c>
      <c r="G11" s="17">
        <v>227490</v>
      </c>
      <c r="H11" s="17" t="s">
        <v>210</v>
      </c>
      <c r="I11" s="17" t="s">
        <v>199</v>
      </c>
      <c r="J11" s="17" t="s">
        <v>200</v>
      </c>
      <c r="K11" s="17" t="s">
        <v>201</v>
      </c>
      <c r="L11" s="17" t="s">
        <v>105</v>
      </c>
      <c r="M11" s="17" t="s">
        <v>101</v>
      </c>
      <c r="N11" s="17">
        <v>6015285</v>
      </c>
      <c r="O11" s="17" t="s">
        <v>162</v>
      </c>
      <c r="P11" s="17" t="s">
        <v>164</v>
      </c>
      <c r="Q11" s="17" t="s">
        <v>163</v>
      </c>
      <c r="R11" s="19">
        <v>54.4</v>
      </c>
      <c r="S11" s="19">
        <f t="shared" si="0"/>
        <v>52.892561983471076</v>
      </c>
      <c r="T11" s="22">
        <v>0.83414351851851853</v>
      </c>
      <c r="U11" s="17">
        <v>2</v>
      </c>
      <c r="V11" s="17">
        <v>5602801</v>
      </c>
      <c r="W11" s="17" t="s">
        <v>202</v>
      </c>
      <c r="X11" s="17">
        <v>100527265</v>
      </c>
    </row>
    <row r="12" spans="1:24" x14ac:dyDescent="0.3">
      <c r="A12" s="17">
        <v>1142</v>
      </c>
      <c r="B12" s="17" t="s">
        <v>161</v>
      </c>
      <c r="C12" s="18">
        <v>46057</v>
      </c>
      <c r="D12" s="17" t="s">
        <v>197</v>
      </c>
      <c r="E12" s="17">
        <v>1</v>
      </c>
      <c r="F12" s="17">
        <v>10101</v>
      </c>
      <c r="G12" s="17">
        <v>227642</v>
      </c>
      <c r="H12" s="17" t="s">
        <v>211</v>
      </c>
      <c r="I12" s="17" t="s">
        <v>199</v>
      </c>
      <c r="J12" s="17" t="s">
        <v>200</v>
      </c>
      <c r="K12" s="17" t="s">
        <v>201</v>
      </c>
      <c r="L12" s="17" t="s">
        <v>105</v>
      </c>
      <c r="M12" s="17" t="s">
        <v>101</v>
      </c>
      <c r="N12" s="17">
        <v>6015285</v>
      </c>
      <c r="O12" s="17" t="s">
        <v>162</v>
      </c>
      <c r="P12" s="17" t="s">
        <v>164</v>
      </c>
      <c r="Q12" s="17" t="s">
        <v>163</v>
      </c>
      <c r="R12" s="19">
        <v>18.100000000000001</v>
      </c>
      <c r="S12" s="19">
        <f t="shared" si="0"/>
        <v>17.598444336412253</v>
      </c>
      <c r="T12" s="22">
        <v>0.83339120370370379</v>
      </c>
      <c r="U12" s="17">
        <v>1</v>
      </c>
      <c r="V12" s="17">
        <v>5602801</v>
      </c>
      <c r="W12" s="17" t="s">
        <v>202</v>
      </c>
      <c r="X12" s="17">
        <v>100527265</v>
      </c>
    </row>
    <row r="13" spans="1:24" x14ac:dyDescent="0.3">
      <c r="A13" s="17">
        <v>1142</v>
      </c>
      <c r="B13" s="17" t="s">
        <v>161</v>
      </c>
      <c r="C13" s="18">
        <v>46057</v>
      </c>
      <c r="D13" s="17" t="s">
        <v>212</v>
      </c>
      <c r="E13" s="17">
        <v>1</v>
      </c>
      <c r="F13" s="17">
        <v>10106</v>
      </c>
      <c r="G13" s="17">
        <v>206797</v>
      </c>
      <c r="H13" s="17" t="s">
        <v>198</v>
      </c>
      <c r="I13" s="17" t="s">
        <v>199</v>
      </c>
      <c r="J13" s="17" t="s">
        <v>200</v>
      </c>
      <c r="K13" s="17" t="s">
        <v>201</v>
      </c>
      <c r="L13" s="17" t="s">
        <v>105</v>
      </c>
      <c r="M13" s="17" t="s">
        <v>101</v>
      </c>
      <c r="N13" s="17">
        <v>6015285</v>
      </c>
      <c r="O13" s="17" t="s">
        <v>162</v>
      </c>
      <c r="P13" s="17" t="s">
        <v>164</v>
      </c>
      <c r="Q13" s="17" t="s">
        <v>163</v>
      </c>
      <c r="R13" s="19">
        <v>67.3</v>
      </c>
      <c r="S13" s="19">
        <f t="shared" si="0"/>
        <v>65.435099659698594</v>
      </c>
      <c r="T13" s="22">
        <v>0.37392361111111111</v>
      </c>
      <c r="U13" s="17">
        <v>2</v>
      </c>
      <c r="V13" s="17">
        <v>5602801</v>
      </c>
      <c r="W13" s="17" t="s">
        <v>202</v>
      </c>
      <c r="X13" s="17">
        <v>100527148</v>
      </c>
    </row>
    <row r="14" spans="1:24" x14ac:dyDescent="0.3">
      <c r="A14" s="17">
        <v>1142</v>
      </c>
      <c r="B14" s="17" t="s">
        <v>161</v>
      </c>
      <c r="C14" s="18">
        <v>46057</v>
      </c>
      <c r="D14" s="17" t="s">
        <v>212</v>
      </c>
      <c r="E14" s="17">
        <v>1</v>
      </c>
      <c r="F14" s="17">
        <v>10108</v>
      </c>
      <c r="G14" s="17">
        <v>206888</v>
      </c>
      <c r="H14" s="17" t="s">
        <v>203</v>
      </c>
      <c r="I14" s="17" t="s">
        <v>199</v>
      </c>
      <c r="J14" s="17" t="s">
        <v>200</v>
      </c>
      <c r="K14" s="17" t="s">
        <v>201</v>
      </c>
      <c r="L14" s="17" t="s">
        <v>105</v>
      </c>
      <c r="M14" s="17" t="s">
        <v>101</v>
      </c>
      <c r="N14" s="17">
        <v>6015285</v>
      </c>
      <c r="O14" s="17" t="s">
        <v>162</v>
      </c>
      <c r="P14" s="17" t="s">
        <v>164</v>
      </c>
      <c r="Q14" s="17" t="s">
        <v>163</v>
      </c>
      <c r="R14" s="19">
        <v>77.5</v>
      </c>
      <c r="S14" s="19">
        <f t="shared" si="0"/>
        <v>75.352455031599419</v>
      </c>
      <c r="T14" s="22">
        <v>0.37444444444444441</v>
      </c>
      <c r="U14" s="17">
        <v>2</v>
      </c>
      <c r="V14" s="17">
        <v>5602801</v>
      </c>
      <c r="W14" s="17" t="s">
        <v>202</v>
      </c>
      <c r="X14" s="17">
        <v>100527148</v>
      </c>
    </row>
    <row r="15" spans="1:24" x14ac:dyDescent="0.3">
      <c r="A15" s="17">
        <v>1142</v>
      </c>
      <c r="B15" s="17" t="s">
        <v>161</v>
      </c>
      <c r="C15" s="18">
        <v>46057</v>
      </c>
      <c r="D15" s="17" t="s">
        <v>212</v>
      </c>
      <c r="E15" s="17">
        <v>1</v>
      </c>
      <c r="F15" s="17">
        <v>10102</v>
      </c>
      <c r="G15" s="17">
        <v>208801</v>
      </c>
      <c r="H15" s="17" t="s">
        <v>204</v>
      </c>
      <c r="I15" s="17" t="s">
        <v>199</v>
      </c>
      <c r="J15" s="17" t="s">
        <v>200</v>
      </c>
      <c r="K15" s="17" t="s">
        <v>201</v>
      </c>
      <c r="L15" s="17" t="s">
        <v>105</v>
      </c>
      <c r="M15" s="17" t="s">
        <v>101</v>
      </c>
      <c r="N15" s="17">
        <v>6015285</v>
      </c>
      <c r="O15" s="17" t="s">
        <v>162</v>
      </c>
      <c r="P15" s="17" t="s">
        <v>164</v>
      </c>
      <c r="Q15" s="17" t="s">
        <v>163</v>
      </c>
      <c r="R15" s="19">
        <v>45.2</v>
      </c>
      <c r="S15" s="19">
        <f t="shared" si="0"/>
        <v>43.947496353913472</v>
      </c>
      <c r="T15" s="22">
        <v>0.3727314814814815</v>
      </c>
      <c r="U15" s="17">
        <v>2</v>
      </c>
      <c r="V15" s="17">
        <v>5602801</v>
      </c>
      <c r="W15" s="17" t="s">
        <v>202</v>
      </c>
      <c r="X15" s="17">
        <v>100527148</v>
      </c>
    </row>
    <row r="16" spans="1:24" x14ac:dyDescent="0.3">
      <c r="A16" s="17">
        <v>1142</v>
      </c>
      <c r="B16" s="17" t="s">
        <v>161</v>
      </c>
      <c r="C16" s="18">
        <v>46057</v>
      </c>
      <c r="D16" s="17" t="s">
        <v>212</v>
      </c>
      <c r="E16" s="17">
        <v>1</v>
      </c>
      <c r="F16" s="17">
        <v>10109</v>
      </c>
      <c r="G16" s="17">
        <v>211158</v>
      </c>
      <c r="H16" s="17" t="s">
        <v>205</v>
      </c>
      <c r="I16" s="17" t="s">
        <v>199</v>
      </c>
      <c r="J16" s="17" t="s">
        <v>200</v>
      </c>
      <c r="K16" s="17" t="s">
        <v>201</v>
      </c>
      <c r="L16" s="17" t="s">
        <v>105</v>
      </c>
      <c r="M16" s="17" t="s">
        <v>101</v>
      </c>
      <c r="N16" s="17">
        <v>6015285</v>
      </c>
      <c r="O16" s="17" t="s">
        <v>162</v>
      </c>
      <c r="P16" s="17" t="s">
        <v>164</v>
      </c>
      <c r="Q16" s="17" t="s">
        <v>163</v>
      </c>
      <c r="R16" s="19">
        <v>75.3</v>
      </c>
      <c r="S16" s="19">
        <f t="shared" si="0"/>
        <v>73.213417598444337</v>
      </c>
      <c r="T16" s="22">
        <v>0.3746990740740741</v>
      </c>
      <c r="U16" s="17">
        <v>2</v>
      </c>
      <c r="V16" s="17">
        <v>5602801</v>
      </c>
      <c r="W16" s="17" t="s">
        <v>202</v>
      </c>
      <c r="X16" s="17">
        <v>100527148</v>
      </c>
    </row>
    <row r="17" spans="1:24" x14ac:dyDescent="0.3">
      <c r="A17" s="17">
        <v>1142</v>
      </c>
      <c r="B17" s="17" t="s">
        <v>161</v>
      </c>
      <c r="C17" s="18">
        <v>46057</v>
      </c>
      <c r="D17" s="17" t="s">
        <v>212</v>
      </c>
      <c r="E17" s="17">
        <v>1</v>
      </c>
      <c r="F17" s="17">
        <v>10107</v>
      </c>
      <c r="G17" s="17">
        <v>212466</v>
      </c>
      <c r="H17" s="17" t="s">
        <v>206</v>
      </c>
      <c r="I17" s="17" t="s">
        <v>199</v>
      </c>
      <c r="J17" s="17" t="s">
        <v>200</v>
      </c>
      <c r="K17" s="17" t="s">
        <v>201</v>
      </c>
      <c r="L17" s="17" t="s">
        <v>105</v>
      </c>
      <c r="M17" s="17" t="s">
        <v>101</v>
      </c>
      <c r="N17" s="17">
        <v>6015285</v>
      </c>
      <c r="O17" s="17" t="s">
        <v>162</v>
      </c>
      <c r="P17" s="17" t="s">
        <v>164</v>
      </c>
      <c r="Q17" s="17" t="s">
        <v>163</v>
      </c>
      <c r="R17" s="19">
        <v>31.3</v>
      </c>
      <c r="S17" s="19">
        <f t="shared" si="0"/>
        <v>30.432668935342733</v>
      </c>
      <c r="T17" s="22">
        <v>0.37420138888888888</v>
      </c>
      <c r="U17" s="17">
        <v>1</v>
      </c>
      <c r="V17" s="17">
        <v>5602801</v>
      </c>
      <c r="W17" s="17" t="s">
        <v>202</v>
      </c>
      <c r="X17" s="17">
        <v>100527148</v>
      </c>
    </row>
    <row r="18" spans="1:24" x14ac:dyDescent="0.3">
      <c r="A18" s="17">
        <v>1142</v>
      </c>
      <c r="B18" s="17" t="s">
        <v>161</v>
      </c>
      <c r="C18" s="18">
        <v>46057</v>
      </c>
      <c r="D18" s="17" t="s">
        <v>212</v>
      </c>
      <c r="E18" s="17">
        <v>1</v>
      </c>
      <c r="F18" s="17">
        <v>10110</v>
      </c>
      <c r="G18" s="17">
        <v>214603</v>
      </c>
      <c r="H18" s="17" t="s">
        <v>207</v>
      </c>
      <c r="I18" s="17" t="s">
        <v>199</v>
      </c>
      <c r="J18" s="17" t="s">
        <v>200</v>
      </c>
      <c r="K18" s="17" t="s">
        <v>201</v>
      </c>
      <c r="L18" s="17" t="s">
        <v>105</v>
      </c>
      <c r="M18" s="17" t="s">
        <v>101</v>
      </c>
      <c r="N18" s="17">
        <v>6015285</v>
      </c>
      <c r="O18" s="17" t="s">
        <v>162</v>
      </c>
      <c r="P18" s="17" t="s">
        <v>164</v>
      </c>
      <c r="Q18" s="17" t="s">
        <v>163</v>
      </c>
      <c r="R18" s="19">
        <v>56.1</v>
      </c>
      <c r="S18" s="19">
        <f t="shared" si="0"/>
        <v>54.545454545454547</v>
      </c>
      <c r="T18" s="22">
        <v>0.37495370370370368</v>
      </c>
      <c r="U18" s="17">
        <v>2</v>
      </c>
      <c r="V18" s="17">
        <v>5602801</v>
      </c>
      <c r="W18" s="17" t="s">
        <v>202</v>
      </c>
      <c r="X18" s="17">
        <v>100527148</v>
      </c>
    </row>
    <row r="19" spans="1:24" x14ac:dyDescent="0.3">
      <c r="A19" s="17">
        <v>1142</v>
      </c>
      <c r="B19" s="17" t="s">
        <v>161</v>
      </c>
      <c r="C19" s="18">
        <v>46057</v>
      </c>
      <c r="D19" s="17" t="s">
        <v>212</v>
      </c>
      <c r="E19" s="17">
        <v>1</v>
      </c>
      <c r="F19" s="17">
        <v>10104</v>
      </c>
      <c r="G19" s="17">
        <v>214908</v>
      </c>
      <c r="H19" s="17" t="s">
        <v>208</v>
      </c>
      <c r="I19" s="17" t="s">
        <v>199</v>
      </c>
      <c r="J19" s="17" t="s">
        <v>200</v>
      </c>
      <c r="K19" s="17" t="s">
        <v>201</v>
      </c>
      <c r="L19" s="17" t="s">
        <v>105</v>
      </c>
      <c r="M19" s="17" t="s">
        <v>101</v>
      </c>
      <c r="N19" s="17">
        <v>6015285</v>
      </c>
      <c r="O19" s="17" t="s">
        <v>162</v>
      </c>
      <c r="P19" s="17" t="s">
        <v>164</v>
      </c>
      <c r="Q19" s="17" t="s">
        <v>163</v>
      </c>
      <c r="R19" s="19">
        <v>90.6</v>
      </c>
      <c r="S19" s="19">
        <f t="shared" si="0"/>
        <v>88.089450656295568</v>
      </c>
      <c r="T19" s="22">
        <v>0.37332175925925926</v>
      </c>
      <c r="U19" s="17">
        <v>3</v>
      </c>
      <c r="V19" s="17">
        <v>5602801</v>
      </c>
      <c r="W19" s="17" t="s">
        <v>202</v>
      </c>
      <c r="X19" s="17">
        <v>100527148</v>
      </c>
    </row>
    <row r="20" spans="1:24" x14ac:dyDescent="0.3">
      <c r="A20" s="17">
        <v>1142</v>
      </c>
      <c r="B20" s="17" t="s">
        <v>161</v>
      </c>
      <c r="C20" s="18">
        <v>46057</v>
      </c>
      <c r="D20" s="17" t="s">
        <v>212</v>
      </c>
      <c r="E20" s="17">
        <v>1</v>
      </c>
      <c r="F20" s="17">
        <v>10105</v>
      </c>
      <c r="G20" s="17">
        <v>220557</v>
      </c>
      <c r="H20" s="17" t="s">
        <v>209</v>
      </c>
      <c r="I20" s="17" t="s">
        <v>199</v>
      </c>
      <c r="J20" s="17" t="s">
        <v>200</v>
      </c>
      <c r="K20" s="17" t="s">
        <v>201</v>
      </c>
      <c r="L20" s="17" t="s">
        <v>105</v>
      </c>
      <c r="M20" s="17" t="s">
        <v>101</v>
      </c>
      <c r="N20" s="17">
        <v>6015285</v>
      </c>
      <c r="O20" s="17" t="s">
        <v>162</v>
      </c>
      <c r="P20" s="17" t="s">
        <v>164</v>
      </c>
      <c r="Q20" s="17" t="s">
        <v>163</v>
      </c>
      <c r="R20" s="19">
        <v>77.8</v>
      </c>
      <c r="S20" s="19">
        <f t="shared" si="0"/>
        <v>75.644141954302384</v>
      </c>
      <c r="T20" s="22">
        <v>0.37364583333333329</v>
      </c>
      <c r="U20" s="17">
        <v>2</v>
      </c>
      <c r="V20" s="17">
        <v>5602801</v>
      </c>
      <c r="W20" s="17" t="s">
        <v>202</v>
      </c>
      <c r="X20" s="17">
        <v>100527148</v>
      </c>
    </row>
    <row r="21" spans="1:24" x14ac:dyDescent="0.3">
      <c r="A21" s="17">
        <v>1142</v>
      </c>
      <c r="B21" s="17" t="s">
        <v>161</v>
      </c>
      <c r="C21" s="18">
        <v>46057</v>
      </c>
      <c r="D21" s="17" t="s">
        <v>212</v>
      </c>
      <c r="E21" s="17">
        <v>1</v>
      </c>
      <c r="F21" s="17">
        <v>10103</v>
      </c>
      <c r="G21" s="17">
        <v>227490</v>
      </c>
      <c r="H21" s="17" t="s">
        <v>210</v>
      </c>
      <c r="I21" s="17" t="s">
        <v>199</v>
      </c>
      <c r="J21" s="17" t="s">
        <v>200</v>
      </c>
      <c r="K21" s="17" t="s">
        <v>201</v>
      </c>
      <c r="L21" s="17" t="s">
        <v>105</v>
      </c>
      <c r="M21" s="17" t="s">
        <v>101</v>
      </c>
      <c r="N21" s="17">
        <v>6015285</v>
      </c>
      <c r="O21" s="17" t="s">
        <v>162</v>
      </c>
      <c r="P21" s="17" t="s">
        <v>164</v>
      </c>
      <c r="Q21" s="17" t="s">
        <v>163</v>
      </c>
      <c r="R21" s="19">
        <v>58.3</v>
      </c>
      <c r="S21" s="19">
        <f t="shared" si="0"/>
        <v>56.684491978609621</v>
      </c>
      <c r="T21" s="22">
        <v>0.37298611111111107</v>
      </c>
      <c r="U21" s="17">
        <v>2</v>
      </c>
      <c r="V21" s="17">
        <v>5602801</v>
      </c>
      <c r="W21" s="17" t="s">
        <v>202</v>
      </c>
      <c r="X21" s="17">
        <v>100527148</v>
      </c>
    </row>
    <row r="22" spans="1:24" x14ac:dyDescent="0.3">
      <c r="A22" s="17">
        <v>1142</v>
      </c>
      <c r="B22" s="17" t="s">
        <v>161</v>
      </c>
      <c r="C22" s="18">
        <v>46057</v>
      </c>
      <c r="D22" s="17" t="s">
        <v>212</v>
      </c>
      <c r="E22" s="17">
        <v>1</v>
      </c>
      <c r="F22" s="17">
        <v>10101</v>
      </c>
      <c r="G22" s="17">
        <v>227642</v>
      </c>
      <c r="H22" s="17" t="s">
        <v>211</v>
      </c>
      <c r="I22" s="17" t="s">
        <v>199</v>
      </c>
      <c r="J22" s="17" t="s">
        <v>200</v>
      </c>
      <c r="K22" s="17" t="s">
        <v>201</v>
      </c>
      <c r="L22" s="17" t="s">
        <v>105</v>
      </c>
      <c r="M22" s="17" t="s">
        <v>101</v>
      </c>
      <c r="N22" s="17">
        <v>6015285</v>
      </c>
      <c r="O22" s="17" t="s">
        <v>162</v>
      </c>
      <c r="P22" s="17" t="s">
        <v>164</v>
      </c>
      <c r="Q22" s="17" t="s">
        <v>163</v>
      </c>
      <c r="R22" s="19">
        <v>37.200000000000003</v>
      </c>
      <c r="S22" s="19">
        <f t="shared" si="0"/>
        <v>36.169178415167721</v>
      </c>
      <c r="T22" s="22">
        <v>0.3724189814814815</v>
      </c>
      <c r="U22" s="17">
        <v>1</v>
      </c>
      <c r="V22" s="17">
        <v>5602801</v>
      </c>
      <c r="W22" s="17" t="s">
        <v>202</v>
      </c>
      <c r="X22" s="17">
        <v>100527148</v>
      </c>
    </row>
    <row r="23" spans="1:24" x14ac:dyDescent="0.3">
      <c r="A23" s="17">
        <v>1142</v>
      </c>
      <c r="B23" s="17" t="s">
        <v>161</v>
      </c>
      <c r="C23" s="18">
        <v>46057</v>
      </c>
      <c r="D23" s="17" t="s">
        <v>197</v>
      </c>
      <c r="E23" s="17">
        <v>1</v>
      </c>
      <c r="F23" s="17">
        <v>10303</v>
      </c>
      <c r="G23" s="17">
        <v>202614</v>
      </c>
      <c r="H23" s="17" t="s">
        <v>213</v>
      </c>
      <c r="I23" s="17" t="s">
        <v>199</v>
      </c>
      <c r="J23" s="17" t="s">
        <v>200</v>
      </c>
      <c r="K23" s="17" t="s">
        <v>201</v>
      </c>
      <c r="L23" s="17" t="s">
        <v>106</v>
      </c>
      <c r="M23" s="17" t="s">
        <v>165</v>
      </c>
      <c r="N23" s="17">
        <v>6002446</v>
      </c>
      <c r="O23" s="17" t="s">
        <v>166</v>
      </c>
      <c r="P23" s="17" t="s">
        <v>164</v>
      </c>
      <c r="Q23" s="17" t="s">
        <v>167</v>
      </c>
      <c r="R23" s="19">
        <v>211.5</v>
      </c>
      <c r="S23" s="19">
        <f t="shared" si="0"/>
        <v>205.63928050559068</v>
      </c>
      <c r="T23" s="22">
        <v>0.88224537037037043</v>
      </c>
      <c r="U23" s="17">
        <v>6</v>
      </c>
      <c r="V23" s="17">
        <v>5602801</v>
      </c>
      <c r="W23" s="17" t="s">
        <v>202</v>
      </c>
      <c r="X23" s="17">
        <v>100527265</v>
      </c>
    </row>
    <row r="24" spans="1:24" x14ac:dyDescent="0.3">
      <c r="A24" s="17">
        <v>1142</v>
      </c>
      <c r="B24" s="17" t="s">
        <v>161</v>
      </c>
      <c r="C24" s="18">
        <v>46057</v>
      </c>
      <c r="D24" s="17" t="s">
        <v>197</v>
      </c>
      <c r="E24" s="17">
        <v>1</v>
      </c>
      <c r="F24" s="17">
        <v>10304</v>
      </c>
      <c r="G24" s="17">
        <v>208802</v>
      </c>
      <c r="H24" s="17" t="s">
        <v>214</v>
      </c>
      <c r="I24" s="17" t="s">
        <v>199</v>
      </c>
      <c r="J24" s="17" t="s">
        <v>200</v>
      </c>
      <c r="K24" s="17" t="s">
        <v>201</v>
      </c>
      <c r="L24" s="17" t="s">
        <v>106</v>
      </c>
      <c r="M24" s="17" t="s">
        <v>165</v>
      </c>
      <c r="N24" s="17">
        <v>6002446</v>
      </c>
      <c r="O24" s="17" t="s">
        <v>166</v>
      </c>
      <c r="P24" s="17" t="s">
        <v>164</v>
      </c>
      <c r="Q24" s="17" t="s">
        <v>167</v>
      </c>
      <c r="R24" s="19">
        <v>129.9</v>
      </c>
      <c r="S24" s="19">
        <f t="shared" si="0"/>
        <v>126.30043753038406</v>
      </c>
      <c r="T24" s="22">
        <v>0.88269675925925928</v>
      </c>
      <c r="U24" s="17">
        <v>4</v>
      </c>
      <c r="V24" s="17">
        <v>5602801</v>
      </c>
      <c r="W24" s="17" t="s">
        <v>202</v>
      </c>
      <c r="X24" s="17">
        <v>100527265</v>
      </c>
    </row>
    <row r="25" spans="1:24" x14ac:dyDescent="0.3">
      <c r="A25" s="17">
        <v>1142</v>
      </c>
      <c r="B25" s="17" t="s">
        <v>161</v>
      </c>
      <c r="C25" s="18">
        <v>46057</v>
      </c>
      <c r="D25" s="17" t="s">
        <v>197</v>
      </c>
      <c r="E25" s="17">
        <v>1</v>
      </c>
      <c r="F25" s="17">
        <v>10310</v>
      </c>
      <c r="G25" s="17">
        <v>215341</v>
      </c>
      <c r="H25" s="17" t="s">
        <v>73</v>
      </c>
      <c r="I25" s="17" t="s">
        <v>199</v>
      </c>
      <c r="J25" s="17" t="s">
        <v>200</v>
      </c>
      <c r="K25" s="17" t="s">
        <v>201</v>
      </c>
      <c r="L25" s="17" t="s">
        <v>106</v>
      </c>
      <c r="M25" s="17" t="s">
        <v>165</v>
      </c>
      <c r="N25" s="17">
        <v>6002446</v>
      </c>
      <c r="O25" s="17" t="s">
        <v>166</v>
      </c>
      <c r="P25" s="17" t="s">
        <v>164</v>
      </c>
      <c r="Q25" s="17" t="s">
        <v>167</v>
      </c>
      <c r="R25" s="19">
        <v>4.3</v>
      </c>
      <c r="S25" s="19">
        <f t="shared" si="0"/>
        <v>4.1808458920758387</v>
      </c>
      <c r="T25" s="22">
        <v>0.88420138888888899</v>
      </c>
      <c r="U25" s="17">
        <v>1</v>
      </c>
      <c r="V25" s="17">
        <v>5602801</v>
      </c>
      <c r="W25" s="17" t="s">
        <v>202</v>
      </c>
      <c r="X25" s="17">
        <v>100527265</v>
      </c>
    </row>
    <row r="26" spans="1:24" x14ac:dyDescent="0.3">
      <c r="A26" s="17">
        <v>1142</v>
      </c>
      <c r="B26" s="17" t="s">
        <v>161</v>
      </c>
      <c r="C26" s="18">
        <v>46057</v>
      </c>
      <c r="D26" s="17" t="s">
        <v>197</v>
      </c>
      <c r="E26" s="17">
        <v>1</v>
      </c>
      <c r="F26" s="17">
        <v>10307</v>
      </c>
      <c r="G26" s="17">
        <v>225774</v>
      </c>
      <c r="H26" s="17" t="s">
        <v>83</v>
      </c>
      <c r="I26" s="17" t="s">
        <v>199</v>
      </c>
      <c r="J26" s="17" t="s">
        <v>200</v>
      </c>
      <c r="K26" s="17" t="s">
        <v>201</v>
      </c>
      <c r="L26" s="17" t="s">
        <v>106</v>
      </c>
      <c r="M26" s="17" t="s">
        <v>165</v>
      </c>
      <c r="N26" s="17">
        <v>6002446</v>
      </c>
      <c r="O26" s="17" t="s">
        <v>166</v>
      </c>
      <c r="P26" s="17" t="s">
        <v>164</v>
      </c>
      <c r="Q26" s="17" t="s">
        <v>167</v>
      </c>
      <c r="R26" s="19">
        <v>40.1</v>
      </c>
      <c r="S26" s="19">
        <f t="shared" si="0"/>
        <v>38.988818667963052</v>
      </c>
      <c r="T26" s="22">
        <v>0.88346064814814806</v>
      </c>
      <c r="U26" s="17">
        <v>1</v>
      </c>
      <c r="V26" s="17">
        <v>5602801</v>
      </c>
      <c r="W26" s="17" t="s">
        <v>202</v>
      </c>
      <c r="X26" s="17">
        <v>100527265</v>
      </c>
    </row>
    <row r="27" spans="1:24" x14ac:dyDescent="0.3">
      <c r="A27" s="17">
        <v>1142</v>
      </c>
      <c r="B27" s="17" t="s">
        <v>161</v>
      </c>
      <c r="C27" s="18">
        <v>46057</v>
      </c>
      <c r="D27" s="17" t="s">
        <v>197</v>
      </c>
      <c r="E27" s="17">
        <v>1</v>
      </c>
      <c r="F27" s="17">
        <v>10314</v>
      </c>
      <c r="G27" s="17">
        <v>226594</v>
      </c>
      <c r="H27" s="17" t="s">
        <v>215</v>
      </c>
      <c r="I27" s="17" t="s">
        <v>199</v>
      </c>
      <c r="J27" s="17" t="s">
        <v>200</v>
      </c>
      <c r="K27" s="17" t="s">
        <v>201</v>
      </c>
      <c r="L27" s="17" t="s">
        <v>106</v>
      </c>
      <c r="M27" s="17" t="s">
        <v>165</v>
      </c>
      <c r="N27" s="17">
        <v>6002446</v>
      </c>
      <c r="O27" s="17" t="s">
        <v>166</v>
      </c>
      <c r="P27" s="17" t="s">
        <v>164</v>
      </c>
      <c r="Q27" s="17" t="s">
        <v>167</v>
      </c>
      <c r="R27" s="19">
        <v>30.5</v>
      </c>
      <c r="S27" s="19">
        <f t="shared" si="0"/>
        <v>29.654837141468157</v>
      </c>
      <c r="T27" s="22">
        <v>0.88520833333333337</v>
      </c>
      <c r="U27" s="17">
        <v>1</v>
      </c>
      <c r="V27" s="17">
        <v>5602801</v>
      </c>
      <c r="W27" s="17" t="s">
        <v>202</v>
      </c>
      <c r="X27" s="17">
        <v>100527265</v>
      </c>
    </row>
    <row r="28" spans="1:24" x14ac:dyDescent="0.3">
      <c r="A28" s="17">
        <v>1142</v>
      </c>
      <c r="B28" s="17" t="s">
        <v>161</v>
      </c>
      <c r="C28" s="18">
        <v>46057</v>
      </c>
      <c r="D28" s="17" t="s">
        <v>197</v>
      </c>
      <c r="E28" s="17">
        <v>1</v>
      </c>
      <c r="F28" s="17">
        <v>10313</v>
      </c>
      <c r="G28" s="17">
        <v>227276</v>
      </c>
      <c r="H28" s="17" t="s">
        <v>216</v>
      </c>
      <c r="I28" s="17" t="s">
        <v>199</v>
      </c>
      <c r="J28" s="17" t="s">
        <v>200</v>
      </c>
      <c r="K28" s="17" t="s">
        <v>201</v>
      </c>
      <c r="L28" s="17" t="s">
        <v>106</v>
      </c>
      <c r="M28" s="17" t="s">
        <v>165</v>
      </c>
      <c r="N28" s="17">
        <v>6002446</v>
      </c>
      <c r="O28" s="17" t="s">
        <v>166</v>
      </c>
      <c r="P28" s="17" t="s">
        <v>164</v>
      </c>
      <c r="Q28" s="17" t="s">
        <v>167</v>
      </c>
      <c r="R28" s="19">
        <v>70.099999999999994</v>
      </c>
      <c r="S28" s="19">
        <f t="shared" si="0"/>
        <v>68.157510938259591</v>
      </c>
      <c r="T28" s="22">
        <v>0.8849999999999999</v>
      </c>
      <c r="U28" s="17">
        <v>2</v>
      </c>
      <c r="V28" s="17">
        <v>5602801</v>
      </c>
      <c r="W28" s="17" t="s">
        <v>202</v>
      </c>
      <c r="X28" s="17">
        <v>100527265</v>
      </c>
    </row>
    <row r="29" spans="1:24" x14ac:dyDescent="0.3">
      <c r="A29" s="17">
        <v>1142</v>
      </c>
      <c r="B29" s="17" t="s">
        <v>161</v>
      </c>
      <c r="C29" s="18">
        <v>46057</v>
      </c>
      <c r="D29" s="17" t="s">
        <v>197</v>
      </c>
      <c r="E29" s="17">
        <v>1</v>
      </c>
      <c r="F29" s="17">
        <v>10312</v>
      </c>
      <c r="G29" s="17">
        <v>230656</v>
      </c>
      <c r="H29" s="17" t="s">
        <v>217</v>
      </c>
      <c r="I29" s="17" t="s">
        <v>199</v>
      </c>
      <c r="J29" s="17" t="s">
        <v>200</v>
      </c>
      <c r="K29" s="17" t="s">
        <v>201</v>
      </c>
      <c r="L29" s="17" t="s">
        <v>106</v>
      </c>
      <c r="M29" s="17" t="s">
        <v>165</v>
      </c>
      <c r="N29" s="17">
        <v>6002446</v>
      </c>
      <c r="O29" s="17" t="s">
        <v>166</v>
      </c>
      <c r="P29" s="17" t="s">
        <v>164</v>
      </c>
      <c r="Q29" s="17" t="s">
        <v>167</v>
      </c>
      <c r="R29" s="19">
        <v>86.4</v>
      </c>
      <c r="S29" s="19">
        <f t="shared" si="0"/>
        <v>84.005833738454072</v>
      </c>
      <c r="T29" s="22">
        <v>0.88475694444444442</v>
      </c>
      <c r="U29" s="17">
        <v>3</v>
      </c>
      <c r="V29" s="17">
        <v>5602801</v>
      </c>
      <c r="W29" s="17" t="s">
        <v>202</v>
      </c>
      <c r="X29" s="17">
        <v>100527265</v>
      </c>
    </row>
    <row r="30" spans="1:24" x14ac:dyDescent="0.3">
      <c r="A30" s="17">
        <v>1142</v>
      </c>
      <c r="B30" s="17" t="s">
        <v>161</v>
      </c>
      <c r="C30" s="18">
        <v>46057</v>
      </c>
      <c r="D30" s="17" t="s">
        <v>197</v>
      </c>
      <c r="E30" s="17">
        <v>1</v>
      </c>
      <c r="F30" s="17">
        <v>10305</v>
      </c>
      <c r="G30" s="17">
        <v>231363</v>
      </c>
      <c r="H30" s="17" t="s">
        <v>218</v>
      </c>
      <c r="I30" s="17" t="s">
        <v>199</v>
      </c>
      <c r="J30" s="17" t="s">
        <v>200</v>
      </c>
      <c r="K30" s="17" t="s">
        <v>201</v>
      </c>
      <c r="L30" s="17" t="s">
        <v>106</v>
      </c>
      <c r="M30" s="17" t="s">
        <v>165</v>
      </c>
      <c r="N30" s="17">
        <v>6002446</v>
      </c>
      <c r="O30" s="17" t="s">
        <v>166</v>
      </c>
      <c r="P30" s="17" t="s">
        <v>164</v>
      </c>
      <c r="Q30" s="17" t="s">
        <v>167</v>
      </c>
      <c r="R30" s="19">
        <v>40.4</v>
      </c>
      <c r="S30" s="19">
        <f t="shared" si="0"/>
        <v>39.280505590666017</v>
      </c>
      <c r="T30" s="22">
        <v>0.88297453703703699</v>
      </c>
      <c r="U30" s="17">
        <v>1</v>
      </c>
      <c r="V30" s="17">
        <v>5602801</v>
      </c>
      <c r="W30" s="17" t="s">
        <v>202</v>
      </c>
      <c r="X30" s="17">
        <v>100527265</v>
      </c>
    </row>
    <row r="31" spans="1:24" x14ac:dyDescent="0.3">
      <c r="A31" s="17">
        <v>1142</v>
      </c>
      <c r="B31" s="17" t="s">
        <v>161</v>
      </c>
      <c r="C31" s="18">
        <v>46057</v>
      </c>
      <c r="D31" s="17" t="s">
        <v>197</v>
      </c>
      <c r="E31" s="17">
        <v>1</v>
      </c>
      <c r="F31" s="17">
        <v>10308</v>
      </c>
      <c r="G31" s="17">
        <v>231390</v>
      </c>
      <c r="H31" s="17" t="s">
        <v>219</v>
      </c>
      <c r="I31" s="17" t="s">
        <v>199</v>
      </c>
      <c r="J31" s="17" t="s">
        <v>200</v>
      </c>
      <c r="K31" s="17" t="s">
        <v>201</v>
      </c>
      <c r="L31" s="17" t="s">
        <v>106</v>
      </c>
      <c r="M31" s="17" t="s">
        <v>165</v>
      </c>
      <c r="N31" s="17">
        <v>6002446</v>
      </c>
      <c r="O31" s="17" t="s">
        <v>166</v>
      </c>
      <c r="P31" s="17" t="s">
        <v>164</v>
      </c>
      <c r="Q31" s="17" t="s">
        <v>167</v>
      </c>
      <c r="R31" s="19">
        <v>34.5</v>
      </c>
      <c r="S31" s="19">
        <f t="shared" si="0"/>
        <v>33.543996110841029</v>
      </c>
      <c r="T31" s="22">
        <v>0.88373842592592589</v>
      </c>
      <c r="U31" s="17">
        <v>1</v>
      </c>
      <c r="V31" s="17">
        <v>5602801</v>
      </c>
      <c r="W31" s="17" t="s">
        <v>202</v>
      </c>
      <c r="X31" s="17">
        <v>100527265</v>
      </c>
    </row>
    <row r="32" spans="1:24" x14ac:dyDescent="0.3">
      <c r="A32" s="17">
        <v>1142</v>
      </c>
      <c r="B32" s="17" t="s">
        <v>161</v>
      </c>
      <c r="C32" s="18">
        <v>46057</v>
      </c>
      <c r="D32" s="17" t="s">
        <v>197</v>
      </c>
      <c r="E32" s="17">
        <v>1</v>
      </c>
      <c r="F32" s="17">
        <v>10311</v>
      </c>
      <c r="G32" s="17">
        <v>323351</v>
      </c>
      <c r="H32" s="17" t="s">
        <v>220</v>
      </c>
      <c r="I32" s="17" t="s">
        <v>221</v>
      </c>
      <c r="J32" s="17" t="s">
        <v>200</v>
      </c>
      <c r="K32" s="17" t="s">
        <v>201</v>
      </c>
      <c r="L32" s="17" t="s">
        <v>106</v>
      </c>
      <c r="M32" s="17" t="s">
        <v>165</v>
      </c>
      <c r="N32" s="17">
        <v>6002446</v>
      </c>
      <c r="O32" s="17" t="s">
        <v>166</v>
      </c>
      <c r="P32" s="17" t="s">
        <v>164</v>
      </c>
      <c r="Q32" s="17" t="s">
        <v>167</v>
      </c>
      <c r="R32" s="19">
        <v>52.5</v>
      </c>
      <c r="S32" s="19">
        <f t="shared" si="0"/>
        <v>51.045211473018959</v>
      </c>
      <c r="T32" s="22">
        <v>0.88444444444444448</v>
      </c>
      <c r="U32" s="17">
        <v>2</v>
      </c>
      <c r="V32" s="17">
        <v>5602801</v>
      </c>
      <c r="W32" s="17" t="s">
        <v>222</v>
      </c>
      <c r="X32" s="17">
        <v>100527265</v>
      </c>
    </row>
    <row r="33" spans="1:24" x14ac:dyDescent="0.3">
      <c r="A33" s="17">
        <v>1142</v>
      </c>
      <c r="B33" s="17" t="s">
        <v>161</v>
      </c>
      <c r="C33" s="18">
        <v>46057</v>
      </c>
      <c r="D33" s="17" t="s">
        <v>197</v>
      </c>
      <c r="E33" s="17">
        <v>1</v>
      </c>
      <c r="F33" s="17">
        <v>10309</v>
      </c>
      <c r="G33" s="17">
        <v>329980</v>
      </c>
      <c r="H33" s="17" t="s">
        <v>223</v>
      </c>
      <c r="I33" s="17" t="s">
        <v>221</v>
      </c>
      <c r="J33" s="17" t="s">
        <v>200</v>
      </c>
      <c r="K33" s="17" t="s">
        <v>201</v>
      </c>
      <c r="L33" s="17" t="s">
        <v>106</v>
      </c>
      <c r="M33" s="17" t="s">
        <v>165</v>
      </c>
      <c r="N33" s="17">
        <v>6002446</v>
      </c>
      <c r="O33" s="17" t="s">
        <v>166</v>
      </c>
      <c r="P33" s="17" t="s">
        <v>164</v>
      </c>
      <c r="Q33" s="17" t="s">
        <v>167</v>
      </c>
      <c r="R33" s="19">
        <v>21.2</v>
      </c>
      <c r="S33" s="19">
        <f t="shared" si="0"/>
        <v>20.612542537676227</v>
      </c>
      <c r="T33" s="22">
        <v>0.88396990740740744</v>
      </c>
      <c r="U33" s="17">
        <v>1</v>
      </c>
      <c r="V33" s="17">
        <v>5602801</v>
      </c>
      <c r="W33" s="17" t="s">
        <v>222</v>
      </c>
      <c r="X33" s="17">
        <v>100527265</v>
      </c>
    </row>
    <row r="34" spans="1:24" x14ac:dyDescent="0.3">
      <c r="A34" s="17">
        <v>1142</v>
      </c>
      <c r="B34" s="17" t="s">
        <v>161</v>
      </c>
      <c r="C34" s="18">
        <v>46057</v>
      </c>
      <c r="D34" s="17" t="s">
        <v>197</v>
      </c>
      <c r="E34" s="17">
        <v>1</v>
      </c>
      <c r="F34" s="17">
        <v>10306</v>
      </c>
      <c r="G34" s="17">
        <v>397506</v>
      </c>
      <c r="H34" s="17" t="s">
        <v>224</v>
      </c>
      <c r="I34" s="17" t="s">
        <v>221</v>
      </c>
      <c r="J34" s="17" t="s">
        <v>200</v>
      </c>
      <c r="K34" s="17" t="s">
        <v>201</v>
      </c>
      <c r="L34" s="17" t="s">
        <v>106</v>
      </c>
      <c r="M34" s="17" t="s">
        <v>165</v>
      </c>
      <c r="N34" s="17">
        <v>6002446</v>
      </c>
      <c r="O34" s="17" t="s">
        <v>166</v>
      </c>
      <c r="P34" s="17" t="s">
        <v>164</v>
      </c>
      <c r="Q34" s="17" t="s">
        <v>167</v>
      </c>
      <c r="R34" s="19">
        <v>10.8</v>
      </c>
      <c r="S34" s="19">
        <f t="shared" si="0"/>
        <v>10.500729217306759</v>
      </c>
      <c r="T34" s="22">
        <v>0.88322916666666673</v>
      </c>
      <c r="U34" s="17">
        <v>1</v>
      </c>
      <c r="V34" s="17">
        <v>5602801</v>
      </c>
      <c r="W34" s="17" t="s">
        <v>222</v>
      </c>
      <c r="X34" s="17">
        <v>100527265</v>
      </c>
    </row>
    <row r="35" spans="1:24" x14ac:dyDescent="0.3">
      <c r="A35" s="17">
        <v>1142</v>
      </c>
      <c r="B35" s="17" t="s">
        <v>161</v>
      </c>
      <c r="C35" s="18">
        <v>46057</v>
      </c>
      <c r="D35" s="17" t="s">
        <v>212</v>
      </c>
      <c r="E35" s="17">
        <v>1</v>
      </c>
      <c r="F35" s="17">
        <v>10220</v>
      </c>
      <c r="G35" s="17">
        <v>202614</v>
      </c>
      <c r="H35" s="17" t="s">
        <v>213</v>
      </c>
      <c r="I35" s="17" t="s">
        <v>199</v>
      </c>
      <c r="J35" s="17" t="s">
        <v>200</v>
      </c>
      <c r="K35" s="17" t="s">
        <v>201</v>
      </c>
      <c r="L35" s="17" t="s">
        <v>106</v>
      </c>
      <c r="M35" s="17" t="s">
        <v>165</v>
      </c>
      <c r="N35" s="17">
        <v>6002446</v>
      </c>
      <c r="O35" s="17" t="s">
        <v>166</v>
      </c>
      <c r="P35" s="17" t="s">
        <v>164</v>
      </c>
      <c r="Q35" s="17" t="s">
        <v>167</v>
      </c>
      <c r="R35" s="19">
        <v>250.6</v>
      </c>
      <c r="S35" s="19">
        <f t="shared" si="0"/>
        <v>243.65580943121051</v>
      </c>
      <c r="T35" s="22">
        <v>0.43274305555555559</v>
      </c>
      <c r="U35" s="17">
        <v>7</v>
      </c>
      <c r="V35" s="17">
        <v>5602801</v>
      </c>
      <c r="W35" s="17" t="s">
        <v>202</v>
      </c>
      <c r="X35" s="17">
        <v>100527148</v>
      </c>
    </row>
    <row r="36" spans="1:24" x14ac:dyDescent="0.3">
      <c r="A36" s="17">
        <v>1142</v>
      </c>
      <c r="B36" s="17" t="s">
        <v>161</v>
      </c>
      <c r="C36" s="18">
        <v>46057</v>
      </c>
      <c r="D36" s="17" t="s">
        <v>212</v>
      </c>
      <c r="E36" s="17">
        <v>1</v>
      </c>
      <c r="F36" s="17">
        <v>10221</v>
      </c>
      <c r="G36" s="17">
        <v>208802</v>
      </c>
      <c r="H36" s="17" t="s">
        <v>214</v>
      </c>
      <c r="I36" s="17" t="s">
        <v>199</v>
      </c>
      <c r="J36" s="17" t="s">
        <v>200</v>
      </c>
      <c r="K36" s="17" t="s">
        <v>201</v>
      </c>
      <c r="L36" s="17" t="s">
        <v>106</v>
      </c>
      <c r="M36" s="17" t="s">
        <v>165</v>
      </c>
      <c r="N36" s="17">
        <v>6002446</v>
      </c>
      <c r="O36" s="17" t="s">
        <v>166</v>
      </c>
      <c r="P36" s="17" t="s">
        <v>164</v>
      </c>
      <c r="Q36" s="17" t="s">
        <v>167</v>
      </c>
      <c r="R36" s="19">
        <v>180.8</v>
      </c>
      <c r="S36" s="19">
        <f t="shared" si="0"/>
        <v>175.78998541565389</v>
      </c>
      <c r="T36" s="22">
        <v>0.43329861111111106</v>
      </c>
      <c r="U36" s="17">
        <v>5</v>
      </c>
      <c r="V36" s="17">
        <v>5602801</v>
      </c>
      <c r="W36" s="17" t="s">
        <v>202</v>
      </c>
      <c r="X36" s="17">
        <v>100527148</v>
      </c>
    </row>
    <row r="37" spans="1:24" x14ac:dyDescent="0.3">
      <c r="A37" s="17">
        <v>1142</v>
      </c>
      <c r="B37" s="17" t="s">
        <v>161</v>
      </c>
      <c r="C37" s="18">
        <v>46057</v>
      </c>
      <c r="D37" s="17" t="s">
        <v>212</v>
      </c>
      <c r="E37" s="17">
        <v>1</v>
      </c>
      <c r="F37" s="17">
        <v>10305</v>
      </c>
      <c r="G37" s="17">
        <v>215341</v>
      </c>
      <c r="H37" s="17" t="s">
        <v>73</v>
      </c>
      <c r="I37" s="17" t="s">
        <v>199</v>
      </c>
      <c r="J37" s="17" t="s">
        <v>200</v>
      </c>
      <c r="K37" s="17" t="s">
        <v>201</v>
      </c>
      <c r="L37" s="17" t="s">
        <v>106</v>
      </c>
      <c r="M37" s="17" t="s">
        <v>165</v>
      </c>
      <c r="N37" s="17">
        <v>6002446</v>
      </c>
      <c r="O37" s="17" t="s">
        <v>166</v>
      </c>
      <c r="P37" s="17" t="s">
        <v>164</v>
      </c>
      <c r="Q37" s="17" t="s">
        <v>167</v>
      </c>
      <c r="R37" s="19">
        <v>7.6</v>
      </c>
      <c r="S37" s="19">
        <f t="shared" si="0"/>
        <v>7.3894020418084585</v>
      </c>
      <c r="T37" s="22">
        <v>0.43565972222222221</v>
      </c>
      <c r="U37" s="17">
        <v>1</v>
      </c>
      <c r="V37" s="17">
        <v>5602801</v>
      </c>
      <c r="W37" s="17" t="s">
        <v>202</v>
      </c>
      <c r="X37" s="17">
        <v>100527148</v>
      </c>
    </row>
    <row r="38" spans="1:24" x14ac:dyDescent="0.3">
      <c r="A38" s="17">
        <v>1142</v>
      </c>
      <c r="B38" s="17" t="s">
        <v>161</v>
      </c>
      <c r="C38" s="18">
        <v>46057</v>
      </c>
      <c r="D38" s="17" t="s">
        <v>212</v>
      </c>
      <c r="E38" s="17">
        <v>1</v>
      </c>
      <c r="F38" s="17">
        <v>10223</v>
      </c>
      <c r="G38" s="17">
        <v>225774</v>
      </c>
      <c r="H38" s="17" t="s">
        <v>83</v>
      </c>
      <c r="I38" s="17" t="s">
        <v>199</v>
      </c>
      <c r="J38" s="17" t="s">
        <v>200</v>
      </c>
      <c r="K38" s="17" t="s">
        <v>201</v>
      </c>
      <c r="L38" s="17" t="s">
        <v>106</v>
      </c>
      <c r="M38" s="17" t="s">
        <v>165</v>
      </c>
      <c r="N38" s="17">
        <v>6002446</v>
      </c>
      <c r="O38" s="17" t="s">
        <v>166</v>
      </c>
      <c r="P38" s="17" t="s">
        <v>164</v>
      </c>
      <c r="Q38" s="17" t="s">
        <v>167</v>
      </c>
      <c r="R38" s="19">
        <v>62.7</v>
      </c>
      <c r="S38" s="19">
        <f t="shared" si="0"/>
        <v>60.962566844919792</v>
      </c>
      <c r="T38" s="22">
        <v>0.43402777777777773</v>
      </c>
      <c r="U38" s="17">
        <v>2</v>
      </c>
      <c r="V38" s="17">
        <v>5602801</v>
      </c>
      <c r="W38" s="17" t="s">
        <v>202</v>
      </c>
      <c r="X38" s="17">
        <v>100527148</v>
      </c>
    </row>
    <row r="39" spans="1:24" x14ac:dyDescent="0.3">
      <c r="A39" s="17">
        <v>1142</v>
      </c>
      <c r="B39" s="17" t="s">
        <v>161</v>
      </c>
      <c r="C39" s="18">
        <v>46057</v>
      </c>
      <c r="D39" s="17" t="s">
        <v>212</v>
      </c>
      <c r="E39" s="17">
        <v>1</v>
      </c>
      <c r="F39" s="17">
        <v>10307</v>
      </c>
      <c r="G39" s="17">
        <v>226594</v>
      </c>
      <c r="H39" s="17" t="s">
        <v>215</v>
      </c>
      <c r="I39" s="17" t="s">
        <v>199</v>
      </c>
      <c r="J39" s="17" t="s">
        <v>200</v>
      </c>
      <c r="K39" s="17" t="s">
        <v>201</v>
      </c>
      <c r="L39" s="17" t="s">
        <v>106</v>
      </c>
      <c r="M39" s="17" t="s">
        <v>165</v>
      </c>
      <c r="N39" s="17">
        <v>6002446</v>
      </c>
      <c r="O39" s="17" t="s">
        <v>166</v>
      </c>
      <c r="P39" s="17" t="s">
        <v>164</v>
      </c>
      <c r="Q39" s="17" t="s">
        <v>167</v>
      </c>
      <c r="R39" s="19">
        <v>43.7</v>
      </c>
      <c r="S39" s="19">
        <f t="shared" si="0"/>
        <v>42.48906174039864</v>
      </c>
      <c r="T39" s="22">
        <v>0.43618055555555557</v>
      </c>
      <c r="U39" s="17">
        <v>2</v>
      </c>
      <c r="V39" s="17">
        <v>5602801</v>
      </c>
      <c r="W39" s="17" t="s">
        <v>202</v>
      </c>
      <c r="X39" s="17">
        <v>100527148</v>
      </c>
    </row>
    <row r="40" spans="1:24" x14ac:dyDescent="0.3">
      <c r="A40" s="17">
        <v>1142</v>
      </c>
      <c r="B40" s="17" t="s">
        <v>161</v>
      </c>
      <c r="C40" s="18">
        <v>46057</v>
      </c>
      <c r="D40" s="17" t="s">
        <v>212</v>
      </c>
      <c r="E40" s="17">
        <v>1</v>
      </c>
      <c r="F40" s="17">
        <v>10304</v>
      </c>
      <c r="G40" s="17">
        <v>227276</v>
      </c>
      <c r="H40" s="17" t="s">
        <v>216</v>
      </c>
      <c r="I40" s="17" t="s">
        <v>199</v>
      </c>
      <c r="J40" s="17" t="s">
        <v>200</v>
      </c>
      <c r="K40" s="17" t="s">
        <v>201</v>
      </c>
      <c r="L40" s="17" t="s">
        <v>106</v>
      </c>
      <c r="M40" s="17" t="s">
        <v>165</v>
      </c>
      <c r="N40" s="17">
        <v>6002446</v>
      </c>
      <c r="O40" s="17" t="s">
        <v>166</v>
      </c>
      <c r="P40" s="17" t="s">
        <v>164</v>
      </c>
      <c r="Q40" s="17" t="s">
        <v>167</v>
      </c>
      <c r="R40" s="19">
        <v>110.9</v>
      </c>
      <c r="S40" s="19">
        <f t="shared" si="0"/>
        <v>107.82693242586292</v>
      </c>
      <c r="T40" s="22">
        <v>0.43531249999999999</v>
      </c>
      <c r="U40" s="17">
        <v>3</v>
      </c>
      <c r="V40" s="17">
        <v>5602801</v>
      </c>
      <c r="W40" s="17" t="s">
        <v>202</v>
      </c>
      <c r="X40" s="17">
        <v>100527148</v>
      </c>
    </row>
    <row r="41" spans="1:24" x14ac:dyDescent="0.3">
      <c r="A41" s="17">
        <v>1142</v>
      </c>
      <c r="B41" s="17" t="s">
        <v>161</v>
      </c>
      <c r="C41" s="18">
        <v>46057</v>
      </c>
      <c r="D41" s="17" t="s">
        <v>212</v>
      </c>
      <c r="E41" s="17">
        <v>1</v>
      </c>
      <c r="F41" s="17">
        <v>10306</v>
      </c>
      <c r="G41" s="17">
        <v>230656</v>
      </c>
      <c r="H41" s="17" t="s">
        <v>217</v>
      </c>
      <c r="I41" s="17" t="s">
        <v>199</v>
      </c>
      <c r="J41" s="17" t="s">
        <v>200</v>
      </c>
      <c r="K41" s="17" t="s">
        <v>201</v>
      </c>
      <c r="L41" s="17" t="s">
        <v>106</v>
      </c>
      <c r="M41" s="17" t="s">
        <v>165</v>
      </c>
      <c r="N41" s="17">
        <v>6002446</v>
      </c>
      <c r="O41" s="17" t="s">
        <v>166</v>
      </c>
      <c r="P41" s="17" t="s">
        <v>164</v>
      </c>
      <c r="Q41" s="17" t="s">
        <v>167</v>
      </c>
      <c r="R41" s="19">
        <v>108.3</v>
      </c>
      <c r="S41" s="19">
        <f t="shared" si="0"/>
        <v>105.29897909577053</v>
      </c>
      <c r="T41" s="22">
        <v>0.43593750000000003</v>
      </c>
      <c r="U41" s="17">
        <v>3</v>
      </c>
      <c r="V41" s="17">
        <v>5602801</v>
      </c>
      <c r="W41" s="17" t="s">
        <v>202</v>
      </c>
      <c r="X41" s="17">
        <v>100527148</v>
      </c>
    </row>
    <row r="42" spans="1:24" x14ac:dyDescent="0.3">
      <c r="A42" s="17">
        <v>1142</v>
      </c>
      <c r="B42" s="17" t="s">
        <v>161</v>
      </c>
      <c r="C42" s="18">
        <v>46057</v>
      </c>
      <c r="D42" s="17" t="s">
        <v>212</v>
      </c>
      <c r="E42" s="17">
        <v>1</v>
      </c>
      <c r="F42" s="17">
        <v>10222</v>
      </c>
      <c r="G42" s="17">
        <v>231363</v>
      </c>
      <c r="H42" s="17" t="s">
        <v>218</v>
      </c>
      <c r="I42" s="17" t="s">
        <v>199</v>
      </c>
      <c r="J42" s="17" t="s">
        <v>200</v>
      </c>
      <c r="K42" s="17" t="s">
        <v>201</v>
      </c>
      <c r="L42" s="17" t="s">
        <v>106</v>
      </c>
      <c r="M42" s="17" t="s">
        <v>165</v>
      </c>
      <c r="N42" s="17">
        <v>6002446</v>
      </c>
      <c r="O42" s="17" t="s">
        <v>166</v>
      </c>
      <c r="P42" s="17" t="s">
        <v>164</v>
      </c>
      <c r="Q42" s="17" t="s">
        <v>167</v>
      </c>
      <c r="R42" s="19">
        <v>50.9</v>
      </c>
      <c r="S42" s="19">
        <f t="shared" si="0"/>
        <v>49.489547885269808</v>
      </c>
      <c r="T42" s="22">
        <v>0.43362268518518521</v>
      </c>
      <c r="U42" s="17">
        <v>2</v>
      </c>
      <c r="V42" s="17">
        <v>5602801</v>
      </c>
      <c r="W42" s="17" t="s">
        <v>202</v>
      </c>
      <c r="X42" s="17">
        <v>100527148</v>
      </c>
    </row>
    <row r="43" spans="1:24" x14ac:dyDescent="0.3">
      <c r="A43" s="17">
        <v>1142</v>
      </c>
      <c r="B43" s="17" t="s">
        <v>161</v>
      </c>
      <c r="C43" s="18">
        <v>46057</v>
      </c>
      <c r="D43" s="17" t="s">
        <v>212</v>
      </c>
      <c r="E43" s="17">
        <v>1</v>
      </c>
      <c r="F43" s="17">
        <v>10301</v>
      </c>
      <c r="G43" s="17">
        <v>231390</v>
      </c>
      <c r="H43" s="17" t="s">
        <v>219</v>
      </c>
      <c r="I43" s="17" t="s">
        <v>199</v>
      </c>
      <c r="J43" s="17" t="s">
        <v>200</v>
      </c>
      <c r="K43" s="17" t="s">
        <v>201</v>
      </c>
      <c r="L43" s="17" t="s">
        <v>106</v>
      </c>
      <c r="M43" s="17" t="s">
        <v>165</v>
      </c>
      <c r="N43" s="17">
        <v>6002446</v>
      </c>
      <c r="O43" s="17" t="s">
        <v>166</v>
      </c>
      <c r="P43" s="17" t="s">
        <v>164</v>
      </c>
      <c r="Q43" s="17" t="s">
        <v>167</v>
      </c>
      <c r="R43" s="19">
        <v>33.1</v>
      </c>
      <c r="S43" s="19">
        <f t="shared" si="0"/>
        <v>32.18279047156053</v>
      </c>
      <c r="T43" s="22">
        <v>0.43449074074074073</v>
      </c>
      <c r="U43" s="17">
        <v>1</v>
      </c>
      <c r="V43" s="17">
        <v>5602801</v>
      </c>
      <c r="W43" s="17" t="s">
        <v>202</v>
      </c>
      <c r="X43" s="17">
        <v>100527148</v>
      </c>
    </row>
    <row r="44" spans="1:24" x14ac:dyDescent="0.3">
      <c r="A44" s="17">
        <v>1142</v>
      </c>
      <c r="B44" s="17" t="s">
        <v>161</v>
      </c>
      <c r="C44" s="18">
        <v>46057</v>
      </c>
      <c r="D44" s="17" t="s">
        <v>212</v>
      </c>
      <c r="E44" s="17">
        <v>1</v>
      </c>
      <c r="F44" s="17">
        <v>10302</v>
      </c>
      <c r="G44" s="17">
        <v>323351</v>
      </c>
      <c r="H44" s="17" t="s">
        <v>220</v>
      </c>
      <c r="I44" s="17" t="s">
        <v>221</v>
      </c>
      <c r="J44" s="17" t="s">
        <v>200</v>
      </c>
      <c r="K44" s="17" t="s">
        <v>201</v>
      </c>
      <c r="L44" s="17" t="s">
        <v>106</v>
      </c>
      <c r="M44" s="17" t="s">
        <v>165</v>
      </c>
      <c r="N44" s="17">
        <v>6002446</v>
      </c>
      <c r="O44" s="17" t="s">
        <v>166</v>
      </c>
      <c r="P44" s="17" t="s">
        <v>164</v>
      </c>
      <c r="Q44" s="17" t="s">
        <v>167</v>
      </c>
      <c r="R44" s="19">
        <v>57.7</v>
      </c>
      <c r="S44" s="19">
        <f t="shared" si="0"/>
        <v>56.101118133203698</v>
      </c>
      <c r="T44" s="22">
        <v>0.43478009259259259</v>
      </c>
      <c r="U44" s="17">
        <v>2</v>
      </c>
      <c r="V44" s="17">
        <v>5602801</v>
      </c>
      <c r="W44" s="17" t="s">
        <v>222</v>
      </c>
      <c r="X44" s="17">
        <v>100527148</v>
      </c>
    </row>
    <row r="45" spans="1:24" x14ac:dyDescent="0.3">
      <c r="A45" s="17">
        <v>1142</v>
      </c>
      <c r="B45" s="17" t="s">
        <v>161</v>
      </c>
      <c r="C45" s="18">
        <v>46057</v>
      </c>
      <c r="D45" s="17" t="s">
        <v>212</v>
      </c>
      <c r="E45" s="17">
        <v>1</v>
      </c>
      <c r="F45" s="17">
        <v>10303</v>
      </c>
      <c r="G45" s="17">
        <v>329980</v>
      </c>
      <c r="H45" s="17" t="s">
        <v>223</v>
      </c>
      <c r="I45" s="17" t="s">
        <v>221</v>
      </c>
      <c r="J45" s="17" t="s">
        <v>200</v>
      </c>
      <c r="K45" s="17" t="s">
        <v>201</v>
      </c>
      <c r="L45" s="17" t="s">
        <v>106</v>
      </c>
      <c r="M45" s="17" t="s">
        <v>165</v>
      </c>
      <c r="N45" s="17">
        <v>6002446</v>
      </c>
      <c r="O45" s="17" t="s">
        <v>166</v>
      </c>
      <c r="P45" s="17" t="s">
        <v>164</v>
      </c>
      <c r="Q45" s="17" t="s">
        <v>167</v>
      </c>
      <c r="R45" s="19">
        <v>26.5</v>
      </c>
      <c r="S45" s="19">
        <f t="shared" si="0"/>
        <v>25.765678172095285</v>
      </c>
      <c r="T45" s="22">
        <v>0.43497685185185181</v>
      </c>
      <c r="U45" s="17">
        <v>1</v>
      </c>
      <c r="V45" s="17">
        <v>5602801</v>
      </c>
      <c r="W45" s="17" t="s">
        <v>222</v>
      </c>
      <c r="X45" s="17">
        <v>100527148</v>
      </c>
    </row>
    <row r="46" spans="1:24" x14ac:dyDescent="0.3">
      <c r="A46" s="17">
        <v>1142</v>
      </c>
      <c r="B46" s="17" t="s">
        <v>161</v>
      </c>
      <c r="C46" s="18">
        <v>46057</v>
      </c>
      <c r="D46" s="17" t="s">
        <v>212</v>
      </c>
      <c r="E46" s="17">
        <v>1</v>
      </c>
      <c r="F46" s="17">
        <v>10224</v>
      </c>
      <c r="G46" s="17">
        <v>397506</v>
      </c>
      <c r="H46" s="17" t="s">
        <v>224</v>
      </c>
      <c r="I46" s="17" t="s">
        <v>221</v>
      </c>
      <c r="J46" s="17" t="s">
        <v>200</v>
      </c>
      <c r="K46" s="17" t="s">
        <v>201</v>
      </c>
      <c r="L46" s="17" t="s">
        <v>106</v>
      </c>
      <c r="M46" s="17" t="s">
        <v>165</v>
      </c>
      <c r="N46" s="17">
        <v>6002446</v>
      </c>
      <c r="O46" s="17" t="s">
        <v>166</v>
      </c>
      <c r="P46" s="17" t="s">
        <v>164</v>
      </c>
      <c r="Q46" s="17" t="s">
        <v>167</v>
      </c>
      <c r="R46" s="19">
        <v>7.7</v>
      </c>
      <c r="S46" s="19">
        <f t="shared" si="0"/>
        <v>7.4866310160427814</v>
      </c>
      <c r="T46" s="22">
        <v>0.43424768518518514</v>
      </c>
      <c r="U46" s="17">
        <v>1</v>
      </c>
      <c r="V46" s="17">
        <v>5602801</v>
      </c>
      <c r="W46" s="17" t="s">
        <v>222</v>
      </c>
      <c r="X46" s="17">
        <v>100527148</v>
      </c>
    </row>
    <row r="47" spans="1:24" x14ac:dyDescent="0.3">
      <c r="A47" s="17">
        <v>1142</v>
      </c>
      <c r="B47" s="17" t="s">
        <v>161</v>
      </c>
      <c r="C47" s="18">
        <v>46057</v>
      </c>
      <c r="D47" s="17" t="s">
        <v>197</v>
      </c>
      <c r="E47" s="17">
        <v>1</v>
      </c>
      <c r="F47" s="17">
        <v>10206</v>
      </c>
      <c r="G47" s="17">
        <v>202595</v>
      </c>
      <c r="H47" s="17" t="s">
        <v>225</v>
      </c>
      <c r="I47" s="17" t="s">
        <v>199</v>
      </c>
      <c r="J47" s="17" t="s">
        <v>200</v>
      </c>
      <c r="K47" s="17" t="s">
        <v>201</v>
      </c>
      <c r="L47" s="17" t="s">
        <v>107</v>
      </c>
      <c r="M47" s="17" t="s">
        <v>102</v>
      </c>
      <c r="N47" s="17">
        <v>6000572</v>
      </c>
      <c r="O47" s="17" t="s">
        <v>168</v>
      </c>
      <c r="P47" s="17" t="s">
        <v>164</v>
      </c>
      <c r="Q47" s="17" t="s">
        <v>169</v>
      </c>
      <c r="R47" s="19">
        <v>7.2</v>
      </c>
      <c r="S47" s="19">
        <f t="shared" si="0"/>
        <v>7.0004861448711724</v>
      </c>
      <c r="T47" s="22">
        <v>0.85231481481481486</v>
      </c>
      <c r="U47" s="17">
        <v>1</v>
      </c>
      <c r="V47" s="17">
        <v>5602801</v>
      </c>
      <c r="W47" s="17" t="s">
        <v>202</v>
      </c>
      <c r="X47" s="17">
        <v>100527265</v>
      </c>
    </row>
    <row r="48" spans="1:24" x14ac:dyDescent="0.3">
      <c r="A48" s="17">
        <v>1142</v>
      </c>
      <c r="B48" s="17" t="s">
        <v>161</v>
      </c>
      <c r="C48" s="18">
        <v>46057</v>
      </c>
      <c r="D48" s="17" t="s">
        <v>197</v>
      </c>
      <c r="E48" s="17">
        <v>1</v>
      </c>
      <c r="F48" s="17">
        <v>10205</v>
      </c>
      <c r="G48" s="17">
        <v>212415</v>
      </c>
      <c r="H48" s="17" t="s">
        <v>226</v>
      </c>
      <c r="I48" s="17" t="s">
        <v>199</v>
      </c>
      <c r="J48" s="17" t="s">
        <v>200</v>
      </c>
      <c r="K48" s="17" t="s">
        <v>201</v>
      </c>
      <c r="L48" s="17" t="s">
        <v>107</v>
      </c>
      <c r="M48" s="17" t="s">
        <v>102</v>
      </c>
      <c r="N48" s="17">
        <v>6000572</v>
      </c>
      <c r="O48" s="17" t="s">
        <v>168</v>
      </c>
      <c r="P48" s="17" t="s">
        <v>164</v>
      </c>
      <c r="Q48" s="17" t="s">
        <v>169</v>
      </c>
      <c r="R48" s="19">
        <v>60.9</v>
      </c>
      <c r="S48" s="19">
        <f t="shared" si="0"/>
        <v>59.212445308701994</v>
      </c>
      <c r="T48" s="22">
        <v>0.8520833333333333</v>
      </c>
      <c r="U48" s="17">
        <v>2</v>
      </c>
      <c r="V48" s="17">
        <v>5602801</v>
      </c>
      <c r="W48" s="17" t="s">
        <v>202</v>
      </c>
      <c r="X48" s="17">
        <v>100527265</v>
      </c>
    </row>
    <row r="49" spans="1:24" x14ac:dyDescent="0.3">
      <c r="A49" s="17">
        <v>1142</v>
      </c>
      <c r="B49" s="17" t="s">
        <v>161</v>
      </c>
      <c r="C49" s="18">
        <v>46057</v>
      </c>
      <c r="D49" s="17" t="s">
        <v>197</v>
      </c>
      <c r="E49" s="17">
        <v>1</v>
      </c>
      <c r="F49" s="17">
        <v>10209</v>
      </c>
      <c r="G49" s="17">
        <v>212858</v>
      </c>
      <c r="H49" s="17" t="s">
        <v>227</v>
      </c>
      <c r="I49" s="17" t="s">
        <v>199</v>
      </c>
      <c r="J49" s="17" t="s">
        <v>200</v>
      </c>
      <c r="K49" s="17" t="s">
        <v>201</v>
      </c>
      <c r="L49" s="17" t="s">
        <v>107</v>
      </c>
      <c r="M49" s="17" t="s">
        <v>102</v>
      </c>
      <c r="N49" s="17">
        <v>6000572</v>
      </c>
      <c r="O49" s="17" t="s">
        <v>168</v>
      </c>
      <c r="P49" s="17" t="s">
        <v>164</v>
      </c>
      <c r="Q49" s="17" t="s">
        <v>169</v>
      </c>
      <c r="R49" s="19">
        <v>49.6</v>
      </c>
      <c r="S49" s="19">
        <f t="shared" si="0"/>
        <v>48.225571220223628</v>
      </c>
      <c r="T49" s="22">
        <v>0.85302083333333334</v>
      </c>
      <c r="U49" s="17">
        <v>2</v>
      </c>
      <c r="V49" s="17">
        <v>5602801</v>
      </c>
      <c r="W49" s="17" t="s">
        <v>202</v>
      </c>
      <c r="X49" s="17">
        <v>100527265</v>
      </c>
    </row>
    <row r="50" spans="1:24" x14ac:dyDescent="0.3">
      <c r="A50" s="17">
        <v>1142</v>
      </c>
      <c r="B50" s="17" t="s">
        <v>161</v>
      </c>
      <c r="C50" s="18">
        <v>46057</v>
      </c>
      <c r="D50" s="17" t="s">
        <v>197</v>
      </c>
      <c r="E50" s="17">
        <v>1</v>
      </c>
      <c r="F50" s="17">
        <v>10201</v>
      </c>
      <c r="G50" s="17">
        <v>222022</v>
      </c>
      <c r="H50" s="17" t="s">
        <v>228</v>
      </c>
      <c r="I50" s="17" t="s">
        <v>199</v>
      </c>
      <c r="J50" s="17" t="s">
        <v>200</v>
      </c>
      <c r="K50" s="17" t="s">
        <v>201</v>
      </c>
      <c r="L50" s="17" t="s">
        <v>107</v>
      </c>
      <c r="M50" s="17" t="s">
        <v>102</v>
      </c>
      <c r="N50" s="17">
        <v>6000572</v>
      </c>
      <c r="O50" s="17" t="s">
        <v>168</v>
      </c>
      <c r="P50" s="17" t="s">
        <v>164</v>
      </c>
      <c r="Q50" s="17" t="s">
        <v>169</v>
      </c>
      <c r="R50" s="19">
        <v>145.4</v>
      </c>
      <c r="S50" s="19">
        <f t="shared" si="0"/>
        <v>141.37092853670396</v>
      </c>
      <c r="T50" s="22">
        <v>0.85106481481481477</v>
      </c>
      <c r="U50" s="17">
        <v>4</v>
      </c>
      <c r="V50" s="17">
        <v>5602801</v>
      </c>
      <c r="W50" s="17" t="s">
        <v>202</v>
      </c>
      <c r="X50" s="17">
        <v>100527265</v>
      </c>
    </row>
    <row r="51" spans="1:24" x14ac:dyDescent="0.3">
      <c r="A51" s="17">
        <v>1142</v>
      </c>
      <c r="B51" s="17" t="s">
        <v>161</v>
      </c>
      <c r="C51" s="18">
        <v>46057</v>
      </c>
      <c r="D51" s="17" t="s">
        <v>197</v>
      </c>
      <c r="E51" s="17">
        <v>1</v>
      </c>
      <c r="F51" s="17">
        <v>10202</v>
      </c>
      <c r="G51" s="17">
        <v>228329</v>
      </c>
      <c r="H51" s="17" t="s">
        <v>229</v>
      </c>
      <c r="I51" s="17" t="s">
        <v>199</v>
      </c>
      <c r="J51" s="17" t="s">
        <v>200</v>
      </c>
      <c r="K51" s="17" t="s">
        <v>201</v>
      </c>
      <c r="L51" s="17" t="s">
        <v>107</v>
      </c>
      <c r="M51" s="17" t="s">
        <v>102</v>
      </c>
      <c r="N51" s="17">
        <v>6000572</v>
      </c>
      <c r="O51" s="17" t="s">
        <v>168</v>
      </c>
      <c r="P51" s="17" t="s">
        <v>164</v>
      </c>
      <c r="Q51" s="17" t="s">
        <v>169</v>
      </c>
      <c r="R51" s="19">
        <v>71.400000000000006</v>
      </c>
      <c r="S51" s="19">
        <f t="shared" si="0"/>
        <v>69.421487603305792</v>
      </c>
      <c r="T51" s="22">
        <v>0.85135416666666675</v>
      </c>
      <c r="U51" s="17">
        <v>2</v>
      </c>
      <c r="V51" s="17">
        <v>5602801</v>
      </c>
      <c r="W51" s="17" t="s">
        <v>202</v>
      </c>
      <c r="X51" s="17">
        <v>100527265</v>
      </c>
    </row>
    <row r="52" spans="1:24" x14ac:dyDescent="0.3">
      <c r="A52" s="17">
        <v>1142</v>
      </c>
      <c r="B52" s="17" t="s">
        <v>161</v>
      </c>
      <c r="C52" s="18">
        <v>46057</v>
      </c>
      <c r="D52" s="17" t="s">
        <v>197</v>
      </c>
      <c r="E52" s="17">
        <v>1</v>
      </c>
      <c r="F52" s="17">
        <v>10207</v>
      </c>
      <c r="G52" s="17">
        <v>228795</v>
      </c>
      <c r="H52" s="17" t="s">
        <v>230</v>
      </c>
      <c r="I52" s="17" t="s">
        <v>199</v>
      </c>
      <c r="J52" s="17" t="s">
        <v>200</v>
      </c>
      <c r="K52" s="17" t="s">
        <v>201</v>
      </c>
      <c r="L52" s="17" t="s">
        <v>107</v>
      </c>
      <c r="M52" s="17" t="s">
        <v>102</v>
      </c>
      <c r="N52" s="17">
        <v>6000572</v>
      </c>
      <c r="O52" s="17" t="s">
        <v>168</v>
      </c>
      <c r="P52" s="17" t="s">
        <v>164</v>
      </c>
      <c r="Q52" s="17" t="s">
        <v>169</v>
      </c>
      <c r="R52" s="19">
        <v>5</v>
      </c>
      <c r="S52" s="19">
        <f t="shared" si="0"/>
        <v>4.8614487117160916</v>
      </c>
      <c r="T52" s="22">
        <v>0.85251157407407396</v>
      </c>
      <c r="U52" s="17">
        <v>1</v>
      </c>
      <c r="V52" s="17">
        <v>5602801</v>
      </c>
      <c r="W52" s="17" t="s">
        <v>202</v>
      </c>
      <c r="X52" s="17">
        <v>100527265</v>
      </c>
    </row>
    <row r="53" spans="1:24" x14ac:dyDescent="0.3">
      <c r="A53" s="17">
        <v>1142</v>
      </c>
      <c r="B53" s="17" t="s">
        <v>161</v>
      </c>
      <c r="C53" s="18">
        <v>46057</v>
      </c>
      <c r="D53" s="17" t="s">
        <v>197</v>
      </c>
      <c r="E53" s="17">
        <v>1</v>
      </c>
      <c r="F53" s="17">
        <v>10203</v>
      </c>
      <c r="G53" s="17">
        <v>230162</v>
      </c>
      <c r="H53" s="17" t="s">
        <v>231</v>
      </c>
      <c r="I53" s="17" t="s">
        <v>199</v>
      </c>
      <c r="J53" s="17" t="s">
        <v>200</v>
      </c>
      <c r="K53" s="17" t="s">
        <v>201</v>
      </c>
      <c r="L53" s="17" t="s">
        <v>107</v>
      </c>
      <c r="M53" s="17" t="s">
        <v>102</v>
      </c>
      <c r="N53" s="17">
        <v>6000572</v>
      </c>
      <c r="O53" s="17" t="s">
        <v>168</v>
      </c>
      <c r="P53" s="17" t="s">
        <v>164</v>
      </c>
      <c r="Q53" s="17" t="s">
        <v>169</v>
      </c>
      <c r="R53" s="19">
        <v>10.4</v>
      </c>
      <c r="S53" s="19">
        <f t="shared" si="0"/>
        <v>10.111813320369471</v>
      </c>
      <c r="T53" s="22">
        <v>0.85158564814814808</v>
      </c>
      <c r="U53" s="17">
        <v>1</v>
      </c>
      <c r="V53" s="17">
        <v>5602801</v>
      </c>
      <c r="W53" s="17" t="s">
        <v>202</v>
      </c>
      <c r="X53" s="17">
        <v>100527265</v>
      </c>
    </row>
    <row r="54" spans="1:24" x14ac:dyDescent="0.3">
      <c r="A54" s="17">
        <v>1142</v>
      </c>
      <c r="B54" s="17" t="s">
        <v>161</v>
      </c>
      <c r="C54" s="18">
        <v>46057</v>
      </c>
      <c r="D54" s="17" t="s">
        <v>197</v>
      </c>
      <c r="E54" s="17">
        <v>1</v>
      </c>
      <c r="F54" s="17">
        <v>10208</v>
      </c>
      <c r="G54" s="17">
        <v>231117</v>
      </c>
      <c r="H54" s="17" t="s">
        <v>232</v>
      </c>
      <c r="I54" s="17" t="s">
        <v>199</v>
      </c>
      <c r="J54" s="17" t="s">
        <v>200</v>
      </c>
      <c r="K54" s="17" t="s">
        <v>201</v>
      </c>
      <c r="L54" s="17" t="s">
        <v>107</v>
      </c>
      <c r="M54" s="17" t="s">
        <v>102</v>
      </c>
      <c r="N54" s="17">
        <v>6000572</v>
      </c>
      <c r="O54" s="17" t="s">
        <v>168</v>
      </c>
      <c r="P54" s="17" t="s">
        <v>164</v>
      </c>
      <c r="Q54" s="17" t="s">
        <v>169</v>
      </c>
      <c r="R54" s="19">
        <v>35.700000000000003</v>
      </c>
      <c r="S54" s="19">
        <f t="shared" si="0"/>
        <v>34.710743801652896</v>
      </c>
      <c r="T54" s="22">
        <v>0.85274305555555552</v>
      </c>
      <c r="U54" s="17">
        <v>1</v>
      </c>
      <c r="V54" s="17">
        <v>5602801</v>
      </c>
      <c r="W54" s="17" t="s">
        <v>202</v>
      </c>
      <c r="X54" s="17">
        <v>100527265</v>
      </c>
    </row>
    <row r="55" spans="1:24" x14ac:dyDescent="0.3">
      <c r="A55" s="17">
        <v>1142</v>
      </c>
      <c r="B55" s="17" t="s">
        <v>161</v>
      </c>
      <c r="C55" s="18">
        <v>46057</v>
      </c>
      <c r="D55" s="17" t="s">
        <v>197</v>
      </c>
      <c r="E55" s="17">
        <v>1</v>
      </c>
      <c r="F55" s="17">
        <v>10204</v>
      </c>
      <c r="G55" s="17">
        <v>231528</v>
      </c>
      <c r="H55" s="17" t="s">
        <v>233</v>
      </c>
      <c r="I55" s="17" t="s">
        <v>199</v>
      </c>
      <c r="J55" s="17" t="s">
        <v>200</v>
      </c>
      <c r="K55" s="17" t="s">
        <v>201</v>
      </c>
      <c r="L55" s="17" t="s">
        <v>107</v>
      </c>
      <c r="M55" s="17" t="s">
        <v>102</v>
      </c>
      <c r="N55" s="17">
        <v>6000572</v>
      </c>
      <c r="O55" s="17" t="s">
        <v>168</v>
      </c>
      <c r="P55" s="17" t="s">
        <v>164</v>
      </c>
      <c r="Q55" s="17" t="s">
        <v>169</v>
      </c>
      <c r="R55" s="19">
        <v>21.7</v>
      </c>
      <c r="S55" s="19">
        <f t="shared" si="0"/>
        <v>21.098687408847837</v>
      </c>
      <c r="T55" s="22">
        <v>0.85180555555555559</v>
      </c>
      <c r="U55" s="17">
        <v>1</v>
      </c>
      <c r="V55" s="17">
        <v>5602801</v>
      </c>
      <c r="W55" s="17" t="s">
        <v>202</v>
      </c>
      <c r="X55" s="17">
        <v>100527265</v>
      </c>
    </row>
    <row r="56" spans="1:24" x14ac:dyDescent="0.3">
      <c r="A56" s="17">
        <v>1142</v>
      </c>
      <c r="B56" s="17" t="s">
        <v>161</v>
      </c>
      <c r="C56" s="18">
        <v>46057</v>
      </c>
      <c r="D56" s="17" t="s">
        <v>212</v>
      </c>
      <c r="E56" s="17">
        <v>1</v>
      </c>
      <c r="F56" s="17">
        <v>10206</v>
      </c>
      <c r="G56" s="17">
        <v>202595</v>
      </c>
      <c r="H56" s="17" t="s">
        <v>225</v>
      </c>
      <c r="I56" s="17" t="s">
        <v>199</v>
      </c>
      <c r="J56" s="17" t="s">
        <v>200</v>
      </c>
      <c r="K56" s="17" t="s">
        <v>201</v>
      </c>
      <c r="L56" s="17" t="s">
        <v>107</v>
      </c>
      <c r="M56" s="17" t="s">
        <v>102</v>
      </c>
      <c r="N56" s="17">
        <v>6000572</v>
      </c>
      <c r="O56" s="17" t="s">
        <v>168</v>
      </c>
      <c r="P56" s="17" t="s">
        <v>164</v>
      </c>
      <c r="Q56" s="17" t="s">
        <v>169</v>
      </c>
      <c r="R56" s="19">
        <v>9.9</v>
      </c>
      <c r="S56" s="19">
        <f t="shared" si="0"/>
        <v>9.6256684491978621</v>
      </c>
      <c r="T56" s="22">
        <v>0.41070601851851851</v>
      </c>
      <c r="U56" s="17">
        <v>1</v>
      </c>
      <c r="V56" s="17">
        <v>5602801</v>
      </c>
      <c r="W56" s="17" t="s">
        <v>202</v>
      </c>
      <c r="X56" s="17">
        <v>100527148</v>
      </c>
    </row>
    <row r="57" spans="1:24" x14ac:dyDescent="0.3">
      <c r="A57" s="17">
        <v>1142</v>
      </c>
      <c r="B57" s="17" t="s">
        <v>161</v>
      </c>
      <c r="C57" s="18">
        <v>46057</v>
      </c>
      <c r="D57" s="17" t="s">
        <v>212</v>
      </c>
      <c r="E57" s="17">
        <v>1</v>
      </c>
      <c r="F57" s="17">
        <v>10205</v>
      </c>
      <c r="G57" s="17">
        <v>212415</v>
      </c>
      <c r="H57" s="17" t="s">
        <v>226</v>
      </c>
      <c r="I57" s="17" t="s">
        <v>199</v>
      </c>
      <c r="J57" s="17" t="s">
        <v>200</v>
      </c>
      <c r="K57" s="17" t="s">
        <v>201</v>
      </c>
      <c r="L57" s="17" t="s">
        <v>107</v>
      </c>
      <c r="M57" s="17" t="s">
        <v>102</v>
      </c>
      <c r="N57" s="17">
        <v>6000572</v>
      </c>
      <c r="O57" s="17" t="s">
        <v>168</v>
      </c>
      <c r="P57" s="17" t="s">
        <v>164</v>
      </c>
      <c r="Q57" s="17" t="s">
        <v>169</v>
      </c>
      <c r="R57" s="19">
        <v>83.9</v>
      </c>
      <c r="S57" s="19">
        <f t="shared" si="0"/>
        <v>81.575109382596025</v>
      </c>
      <c r="T57" s="22">
        <v>0.41050925925925924</v>
      </c>
      <c r="U57" s="17">
        <v>3</v>
      </c>
      <c r="V57" s="17">
        <v>5602801</v>
      </c>
      <c r="W57" s="17" t="s">
        <v>202</v>
      </c>
      <c r="X57" s="17">
        <v>100527148</v>
      </c>
    </row>
    <row r="58" spans="1:24" x14ac:dyDescent="0.3">
      <c r="A58" s="17">
        <v>1142</v>
      </c>
      <c r="B58" s="17" t="s">
        <v>161</v>
      </c>
      <c r="C58" s="18">
        <v>46057</v>
      </c>
      <c r="D58" s="17" t="s">
        <v>212</v>
      </c>
      <c r="E58" s="17">
        <v>1</v>
      </c>
      <c r="F58" s="17">
        <v>10209</v>
      </c>
      <c r="G58" s="17">
        <v>212858</v>
      </c>
      <c r="H58" s="17" t="s">
        <v>227</v>
      </c>
      <c r="I58" s="17" t="s">
        <v>199</v>
      </c>
      <c r="J58" s="17" t="s">
        <v>200</v>
      </c>
      <c r="K58" s="17" t="s">
        <v>201</v>
      </c>
      <c r="L58" s="17" t="s">
        <v>107</v>
      </c>
      <c r="M58" s="17" t="s">
        <v>102</v>
      </c>
      <c r="N58" s="17">
        <v>6000572</v>
      </c>
      <c r="O58" s="17" t="s">
        <v>168</v>
      </c>
      <c r="P58" s="17" t="s">
        <v>164</v>
      </c>
      <c r="Q58" s="17" t="s">
        <v>169</v>
      </c>
      <c r="R58" s="19">
        <v>55.7</v>
      </c>
      <c r="S58" s="19">
        <f t="shared" si="0"/>
        <v>54.156538648517262</v>
      </c>
      <c r="T58" s="22">
        <v>0.41133101851851855</v>
      </c>
      <c r="U58" s="17">
        <v>2</v>
      </c>
      <c r="V58" s="17">
        <v>5602801</v>
      </c>
      <c r="W58" s="17" t="s">
        <v>202</v>
      </c>
      <c r="X58" s="17">
        <v>100527148</v>
      </c>
    </row>
    <row r="59" spans="1:24" x14ac:dyDescent="0.3">
      <c r="A59" s="17">
        <v>1142</v>
      </c>
      <c r="B59" s="17" t="s">
        <v>161</v>
      </c>
      <c r="C59" s="18">
        <v>46057</v>
      </c>
      <c r="D59" s="17" t="s">
        <v>212</v>
      </c>
      <c r="E59" s="17">
        <v>1</v>
      </c>
      <c r="F59" s="17">
        <v>10201</v>
      </c>
      <c r="G59" s="17">
        <v>222022</v>
      </c>
      <c r="H59" s="17" t="s">
        <v>228</v>
      </c>
      <c r="I59" s="17" t="s">
        <v>199</v>
      </c>
      <c r="J59" s="17" t="s">
        <v>200</v>
      </c>
      <c r="K59" s="17" t="s">
        <v>201</v>
      </c>
      <c r="L59" s="17" t="s">
        <v>107</v>
      </c>
      <c r="M59" s="17" t="s">
        <v>102</v>
      </c>
      <c r="N59" s="17">
        <v>6000572</v>
      </c>
      <c r="O59" s="17" t="s">
        <v>168</v>
      </c>
      <c r="P59" s="17" t="s">
        <v>164</v>
      </c>
      <c r="Q59" s="17" t="s">
        <v>169</v>
      </c>
      <c r="R59" s="19">
        <v>190.5</v>
      </c>
      <c r="S59" s="19">
        <f t="shared" si="0"/>
        <v>185.2211959163831</v>
      </c>
      <c r="T59" s="22">
        <v>0.40946759259259258</v>
      </c>
      <c r="U59" s="17">
        <v>5</v>
      </c>
      <c r="V59" s="17">
        <v>5602801</v>
      </c>
      <c r="W59" s="17" t="s">
        <v>202</v>
      </c>
      <c r="X59" s="17">
        <v>100527148</v>
      </c>
    </row>
    <row r="60" spans="1:24" x14ac:dyDescent="0.3">
      <c r="A60" s="17">
        <v>1142</v>
      </c>
      <c r="B60" s="17" t="s">
        <v>161</v>
      </c>
      <c r="C60" s="18">
        <v>46057</v>
      </c>
      <c r="D60" s="17" t="s">
        <v>212</v>
      </c>
      <c r="E60" s="17">
        <v>1</v>
      </c>
      <c r="F60" s="17">
        <v>10202</v>
      </c>
      <c r="G60" s="17">
        <v>228329</v>
      </c>
      <c r="H60" s="17" t="s">
        <v>229</v>
      </c>
      <c r="I60" s="17" t="s">
        <v>199</v>
      </c>
      <c r="J60" s="17" t="s">
        <v>200</v>
      </c>
      <c r="K60" s="17" t="s">
        <v>201</v>
      </c>
      <c r="L60" s="17" t="s">
        <v>107</v>
      </c>
      <c r="M60" s="17" t="s">
        <v>102</v>
      </c>
      <c r="N60" s="17">
        <v>6000572</v>
      </c>
      <c r="O60" s="17" t="s">
        <v>168</v>
      </c>
      <c r="P60" s="17" t="s">
        <v>164</v>
      </c>
      <c r="Q60" s="17" t="s">
        <v>169</v>
      </c>
      <c r="R60" s="19">
        <v>88.4</v>
      </c>
      <c r="S60" s="19">
        <f t="shared" si="0"/>
        <v>85.950413223140501</v>
      </c>
      <c r="T60" s="22">
        <v>0.40979166666666672</v>
      </c>
      <c r="U60" s="17">
        <v>3</v>
      </c>
      <c r="V60" s="17">
        <v>5602801</v>
      </c>
      <c r="W60" s="17" t="s">
        <v>202</v>
      </c>
      <c r="X60" s="17">
        <v>100527148</v>
      </c>
    </row>
    <row r="61" spans="1:24" x14ac:dyDescent="0.3">
      <c r="A61" s="17">
        <v>1142</v>
      </c>
      <c r="B61" s="17" t="s">
        <v>161</v>
      </c>
      <c r="C61" s="18">
        <v>46057</v>
      </c>
      <c r="D61" s="17" t="s">
        <v>212</v>
      </c>
      <c r="E61" s="17">
        <v>1</v>
      </c>
      <c r="F61" s="17">
        <v>10207</v>
      </c>
      <c r="G61" s="17">
        <v>228795</v>
      </c>
      <c r="H61" s="17" t="s">
        <v>230</v>
      </c>
      <c r="I61" s="17" t="s">
        <v>199</v>
      </c>
      <c r="J61" s="17" t="s">
        <v>200</v>
      </c>
      <c r="K61" s="17" t="s">
        <v>201</v>
      </c>
      <c r="L61" s="17" t="s">
        <v>107</v>
      </c>
      <c r="M61" s="17" t="s">
        <v>102</v>
      </c>
      <c r="N61" s="17">
        <v>6000572</v>
      </c>
      <c r="O61" s="17" t="s">
        <v>168</v>
      </c>
      <c r="P61" s="17" t="s">
        <v>164</v>
      </c>
      <c r="Q61" s="17" t="s">
        <v>169</v>
      </c>
      <c r="R61" s="19">
        <v>16.5</v>
      </c>
      <c r="S61" s="19">
        <f t="shared" si="0"/>
        <v>16.042780748663102</v>
      </c>
      <c r="T61" s="22">
        <v>0.41090277777777778</v>
      </c>
      <c r="U61" s="17">
        <v>1</v>
      </c>
      <c r="V61" s="17">
        <v>5602801</v>
      </c>
      <c r="W61" s="17" t="s">
        <v>202</v>
      </c>
      <c r="X61" s="17">
        <v>100527148</v>
      </c>
    </row>
    <row r="62" spans="1:24" x14ac:dyDescent="0.3">
      <c r="A62" s="17">
        <v>1142</v>
      </c>
      <c r="B62" s="17" t="s">
        <v>161</v>
      </c>
      <c r="C62" s="18">
        <v>46057</v>
      </c>
      <c r="D62" s="17" t="s">
        <v>212</v>
      </c>
      <c r="E62" s="17">
        <v>1</v>
      </c>
      <c r="F62" s="17">
        <v>10204</v>
      </c>
      <c r="G62" s="17">
        <v>230162</v>
      </c>
      <c r="H62" s="17" t="s">
        <v>231</v>
      </c>
      <c r="I62" s="17" t="s">
        <v>199</v>
      </c>
      <c r="J62" s="17" t="s">
        <v>200</v>
      </c>
      <c r="K62" s="17" t="s">
        <v>201</v>
      </c>
      <c r="L62" s="17" t="s">
        <v>107</v>
      </c>
      <c r="M62" s="17" t="s">
        <v>102</v>
      </c>
      <c r="N62" s="17">
        <v>6000572</v>
      </c>
      <c r="O62" s="17" t="s">
        <v>168</v>
      </c>
      <c r="P62" s="17" t="s">
        <v>164</v>
      </c>
      <c r="Q62" s="17" t="s">
        <v>169</v>
      </c>
      <c r="R62" s="19">
        <v>17.2</v>
      </c>
      <c r="S62" s="19">
        <f t="shared" si="0"/>
        <v>16.723383568303355</v>
      </c>
      <c r="T62" s="22">
        <v>0.41020833333333334</v>
      </c>
      <c r="U62" s="17">
        <v>1</v>
      </c>
      <c r="V62" s="17">
        <v>5602801</v>
      </c>
      <c r="W62" s="17" t="s">
        <v>202</v>
      </c>
      <c r="X62" s="17">
        <v>100527148</v>
      </c>
    </row>
    <row r="63" spans="1:24" x14ac:dyDescent="0.3">
      <c r="A63" s="17">
        <v>1142</v>
      </c>
      <c r="B63" s="17" t="s">
        <v>161</v>
      </c>
      <c r="C63" s="18">
        <v>46057</v>
      </c>
      <c r="D63" s="17" t="s">
        <v>212</v>
      </c>
      <c r="E63" s="17">
        <v>1</v>
      </c>
      <c r="F63" s="17">
        <v>10208</v>
      </c>
      <c r="G63" s="17">
        <v>231117</v>
      </c>
      <c r="H63" s="17" t="s">
        <v>232</v>
      </c>
      <c r="I63" s="17" t="s">
        <v>199</v>
      </c>
      <c r="J63" s="17" t="s">
        <v>200</v>
      </c>
      <c r="K63" s="17" t="s">
        <v>201</v>
      </c>
      <c r="L63" s="17" t="s">
        <v>107</v>
      </c>
      <c r="M63" s="17" t="s">
        <v>102</v>
      </c>
      <c r="N63" s="17">
        <v>6000572</v>
      </c>
      <c r="O63" s="17" t="s">
        <v>168</v>
      </c>
      <c r="P63" s="17" t="s">
        <v>164</v>
      </c>
      <c r="Q63" s="17" t="s">
        <v>169</v>
      </c>
      <c r="R63" s="19">
        <v>46.4</v>
      </c>
      <c r="S63" s="19">
        <f t="shared" si="0"/>
        <v>45.114244044725325</v>
      </c>
      <c r="T63" s="22">
        <v>0.41111111111111115</v>
      </c>
      <c r="U63" s="17">
        <v>2</v>
      </c>
      <c r="V63" s="17">
        <v>5602801</v>
      </c>
      <c r="W63" s="17" t="s">
        <v>202</v>
      </c>
      <c r="X63" s="17">
        <v>100527148</v>
      </c>
    </row>
    <row r="64" spans="1:24" x14ac:dyDescent="0.3">
      <c r="A64" s="17">
        <v>1142</v>
      </c>
      <c r="B64" s="17" t="s">
        <v>161</v>
      </c>
      <c r="C64" s="18">
        <v>46057</v>
      </c>
      <c r="D64" s="17" t="s">
        <v>212</v>
      </c>
      <c r="E64" s="17">
        <v>1</v>
      </c>
      <c r="F64" s="17">
        <v>10203</v>
      </c>
      <c r="G64" s="17">
        <v>231528</v>
      </c>
      <c r="H64" s="17" t="s">
        <v>233</v>
      </c>
      <c r="I64" s="17" t="s">
        <v>199</v>
      </c>
      <c r="J64" s="17" t="s">
        <v>200</v>
      </c>
      <c r="K64" s="17" t="s">
        <v>201</v>
      </c>
      <c r="L64" s="17" t="s">
        <v>107</v>
      </c>
      <c r="M64" s="17" t="s">
        <v>102</v>
      </c>
      <c r="N64" s="17">
        <v>6000572</v>
      </c>
      <c r="O64" s="17" t="s">
        <v>168</v>
      </c>
      <c r="P64" s="17" t="s">
        <v>164</v>
      </c>
      <c r="Q64" s="17" t="s">
        <v>169</v>
      </c>
      <c r="R64" s="19">
        <v>28.8</v>
      </c>
      <c r="S64" s="19">
        <f t="shared" si="0"/>
        <v>28.00194457948469</v>
      </c>
      <c r="T64" s="22">
        <v>0.41002314814814816</v>
      </c>
      <c r="U64" s="17">
        <v>1</v>
      </c>
      <c r="V64" s="17">
        <v>5602801</v>
      </c>
      <c r="W64" s="17" t="s">
        <v>202</v>
      </c>
      <c r="X64" s="17">
        <v>100527148</v>
      </c>
    </row>
    <row r="65" spans="1:24" x14ac:dyDescent="0.3">
      <c r="A65" s="17">
        <v>1142</v>
      </c>
      <c r="B65" s="17" t="s">
        <v>161</v>
      </c>
      <c r="C65" s="18">
        <v>46057</v>
      </c>
      <c r="D65" s="17" t="s">
        <v>197</v>
      </c>
      <c r="E65" s="17">
        <v>1</v>
      </c>
      <c r="F65" s="17">
        <v>10217</v>
      </c>
      <c r="G65" s="17">
        <v>200865</v>
      </c>
      <c r="H65" s="17" t="s">
        <v>234</v>
      </c>
      <c r="I65" s="17" t="s">
        <v>199</v>
      </c>
      <c r="J65" s="17" t="s">
        <v>200</v>
      </c>
      <c r="K65" s="17" t="s">
        <v>201</v>
      </c>
      <c r="L65" s="17" t="s">
        <v>108</v>
      </c>
      <c r="M65" s="17" t="s">
        <v>103</v>
      </c>
      <c r="N65" s="17">
        <v>6014244</v>
      </c>
      <c r="O65" s="17" t="s">
        <v>170</v>
      </c>
      <c r="P65" s="17" t="s">
        <v>172</v>
      </c>
      <c r="Q65" s="17" t="s">
        <v>171</v>
      </c>
      <c r="R65" s="19">
        <v>109.4</v>
      </c>
      <c r="S65" s="19">
        <f t="shared" si="0"/>
        <v>106.36849781234808</v>
      </c>
      <c r="T65" s="22">
        <v>0.86884259259259267</v>
      </c>
      <c r="U65" s="17">
        <v>3</v>
      </c>
      <c r="V65" s="17">
        <v>5602801</v>
      </c>
      <c r="W65" s="17" t="s">
        <v>202</v>
      </c>
      <c r="X65" s="17">
        <v>100527265</v>
      </c>
    </row>
    <row r="66" spans="1:24" x14ac:dyDescent="0.3">
      <c r="A66" s="17">
        <v>1142</v>
      </c>
      <c r="B66" s="17" t="s">
        <v>161</v>
      </c>
      <c r="C66" s="18">
        <v>46057</v>
      </c>
      <c r="D66" s="17" t="s">
        <v>197</v>
      </c>
      <c r="E66" s="17">
        <v>1</v>
      </c>
      <c r="F66" s="17">
        <v>10215</v>
      </c>
      <c r="G66" s="17">
        <v>211869</v>
      </c>
      <c r="H66" s="17" t="s">
        <v>235</v>
      </c>
      <c r="I66" s="17" t="s">
        <v>199</v>
      </c>
      <c r="J66" s="17" t="s">
        <v>200</v>
      </c>
      <c r="K66" s="17" t="s">
        <v>201</v>
      </c>
      <c r="L66" s="17" t="s">
        <v>108</v>
      </c>
      <c r="M66" s="17" t="s">
        <v>103</v>
      </c>
      <c r="N66" s="17">
        <v>6014244</v>
      </c>
      <c r="O66" s="17" t="s">
        <v>170</v>
      </c>
      <c r="P66" s="17" t="s">
        <v>172</v>
      </c>
      <c r="Q66" s="17" t="s">
        <v>171</v>
      </c>
      <c r="R66" s="19">
        <v>37.6</v>
      </c>
      <c r="S66" s="19">
        <f t="shared" si="0"/>
        <v>36.558094312105013</v>
      </c>
      <c r="T66" s="22">
        <v>0.86828703703703702</v>
      </c>
      <c r="U66" s="17">
        <v>2</v>
      </c>
      <c r="V66" s="17">
        <v>5602801</v>
      </c>
      <c r="W66" s="17" t="s">
        <v>202</v>
      </c>
      <c r="X66" s="17">
        <v>100527265</v>
      </c>
    </row>
    <row r="67" spans="1:24" x14ac:dyDescent="0.3">
      <c r="A67" s="17">
        <v>1142</v>
      </c>
      <c r="B67" s="17" t="s">
        <v>161</v>
      </c>
      <c r="C67" s="18">
        <v>46057</v>
      </c>
      <c r="D67" s="17" t="s">
        <v>197</v>
      </c>
      <c r="E67" s="17">
        <v>1</v>
      </c>
      <c r="F67" s="17">
        <v>10211</v>
      </c>
      <c r="G67" s="17">
        <v>213682</v>
      </c>
      <c r="H67" s="17" t="s">
        <v>236</v>
      </c>
      <c r="I67" s="17" t="s">
        <v>199</v>
      </c>
      <c r="J67" s="17" t="s">
        <v>200</v>
      </c>
      <c r="K67" s="17" t="s">
        <v>201</v>
      </c>
      <c r="L67" s="17" t="s">
        <v>108</v>
      </c>
      <c r="M67" s="17" t="s">
        <v>103</v>
      </c>
      <c r="N67" s="17">
        <v>6014244</v>
      </c>
      <c r="O67" s="17" t="s">
        <v>170</v>
      </c>
      <c r="P67" s="17" t="s">
        <v>172</v>
      </c>
      <c r="Q67" s="17" t="s">
        <v>171</v>
      </c>
      <c r="R67" s="19">
        <v>89.2</v>
      </c>
      <c r="S67" s="19">
        <f t="shared" si="0"/>
        <v>86.72824501701507</v>
      </c>
      <c r="T67" s="22">
        <v>0.86678240740740742</v>
      </c>
      <c r="U67" s="17">
        <v>3</v>
      </c>
      <c r="V67" s="17">
        <v>5602801</v>
      </c>
      <c r="W67" s="17" t="s">
        <v>202</v>
      </c>
      <c r="X67" s="17">
        <v>100527265</v>
      </c>
    </row>
    <row r="68" spans="1:24" x14ac:dyDescent="0.3">
      <c r="A68" s="17">
        <v>1142</v>
      </c>
      <c r="B68" s="17" t="s">
        <v>161</v>
      </c>
      <c r="C68" s="18">
        <v>46057</v>
      </c>
      <c r="D68" s="17" t="s">
        <v>197</v>
      </c>
      <c r="E68" s="17">
        <v>1</v>
      </c>
      <c r="F68" s="17">
        <v>10210</v>
      </c>
      <c r="G68" s="17">
        <v>215419</v>
      </c>
      <c r="H68" s="17" t="s">
        <v>237</v>
      </c>
      <c r="I68" s="17" t="s">
        <v>199</v>
      </c>
      <c r="J68" s="17" t="s">
        <v>200</v>
      </c>
      <c r="K68" s="17" t="s">
        <v>201</v>
      </c>
      <c r="L68" s="17" t="s">
        <v>108</v>
      </c>
      <c r="M68" s="17" t="s">
        <v>103</v>
      </c>
      <c r="N68" s="17">
        <v>6014244</v>
      </c>
      <c r="O68" s="17" t="s">
        <v>170</v>
      </c>
      <c r="P68" s="17" t="s">
        <v>172</v>
      </c>
      <c r="Q68" s="17" t="s">
        <v>171</v>
      </c>
      <c r="R68" s="19">
        <v>17.600000000000001</v>
      </c>
      <c r="S68" s="19">
        <f t="shared" ref="S68:S127" si="1">+R68/1.0285</f>
        <v>17.112299465240643</v>
      </c>
      <c r="T68" s="22">
        <v>0.86643518518518514</v>
      </c>
      <c r="U68" s="17">
        <v>1</v>
      </c>
      <c r="V68" s="17">
        <v>5602801</v>
      </c>
      <c r="W68" s="17" t="s">
        <v>202</v>
      </c>
      <c r="X68" s="17">
        <v>100527265</v>
      </c>
    </row>
    <row r="69" spans="1:24" x14ac:dyDescent="0.3">
      <c r="A69" s="17">
        <v>1142</v>
      </c>
      <c r="B69" s="17" t="s">
        <v>161</v>
      </c>
      <c r="C69" s="18">
        <v>46057</v>
      </c>
      <c r="D69" s="17" t="s">
        <v>197</v>
      </c>
      <c r="E69" s="17">
        <v>1</v>
      </c>
      <c r="F69" s="17">
        <v>10218</v>
      </c>
      <c r="G69" s="17">
        <v>218888</v>
      </c>
      <c r="H69" s="17" t="s">
        <v>238</v>
      </c>
      <c r="I69" s="17" t="s">
        <v>199</v>
      </c>
      <c r="J69" s="17" t="s">
        <v>200</v>
      </c>
      <c r="K69" s="17" t="s">
        <v>201</v>
      </c>
      <c r="L69" s="17" t="s">
        <v>108</v>
      </c>
      <c r="M69" s="17" t="s">
        <v>103</v>
      </c>
      <c r="N69" s="17">
        <v>6014244</v>
      </c>
      <c r="O69" s="17" t="s">
        <v>170</v>
      </c>
      <c r="P69" s="17" t="s">
        <v>172</v>
      </c>
      <c r="Q69" s="17" t="s">
        <v>171</v>
      </c>
      <c r="R69" s="19">
        <v>123.4</v>
      </c>
      <c r="S69" s="19">
        <f t="shared" si="1"/>
        <v>119.98055420515314</v>
      </c>
      <c r="T69" s="22">
        <v>0.86920138888888887</v>
      </c>
      <c r="U69" s="17">
        <v>3</v>
      </c>
      <c r="V69" s="17">
        <v>5602801</v>
      </c>
      <c r="W69" s="17" t="s">
        <v>202</v>
      </c>
      <c r="X69" s="17">
        <v>100527265</v>
      </c>
    </row>
    <row r="70" spans="1:24" x14ac:dyDescent="0.3">
      <c r="A70" s="17">
        <v>1142</v>
      </c>
      <c r="B70" s="17" t="s">
        <v>161</v>
      </c>
      <c r="C70" s="18">
        <v>46057</v>
      </c>
      <c r="D70" s="17" t="s">
        <v>197</v>
      </c>
      <c r="E70" s="17">
        <v>1</v>
      </c>
      <c r="F70" s="17">
        <v>10216</v>
      </c>
      <c r="G70" s="17">
        <v>221734</v>
      </c>
      <c r="H70" s="17" t="s">
        <v>239</v>
      </c>
      <c r="I70" s="17" t="s">
        <v>199</v>
      </c>
      <c r="J70" s="17" t="s">
        <v>200</v>
      </c>
      <c r="K70" s="17" t="s">
        <v>201</v>
      </c>
      <c r="L70" s="17" t="s">
        <v>108</v>
      </c>
      <c r="M70" s="17" t="s">
        <v>103</v>
      </c>
      <c r="N70" s="17">
        <v>6014244</v>
      </c>
      <c r="O70" s="17" t="s">
        <v>170</v>
      </c>
      <c r="P70" s="17" t="s">
        <v>172</v>
      </c>
      <c r="Q70" s="17" t="s">
        <v>171</v>
      </c>
      <c r="R70" s="19">
        <v>35.1</v>
      </c>
      <c r="S70" s="19">
        <f t="shared" si="1"/>
        <v>34.127369956246966</v>
      </c>
      <c r="T70" s="22">
        <v>0.86849537037037028</v>
      </c>
      <c r="U70" s="17">
        <v>1</v>
      </c>
      <c r="V70" s="17">
        <v>5602801</v>
      </c>
      <c r="W70" s="17" t="s">
        <v>202</v>
      </c>
      <c r="X70" s="17">
        <v>100527265</v>
      </c>
    </row>
    <row r="71" spans="1:24" x14ac:dyDescent="0.3">
      <c r="A71" s="17">
        <v>1142</v>
      </c>
      <c r="B71" s="17" t="s">
        <v>161</v>
      </c>
      <c r="C71" s="18">
        <v>46057</v>
      </c>
      <c r="D71" s="17" t="s">
        <v>197</v>
      </c>
      <c r="E71" s="17">
        <v>1</v>
      </c>
      <c r="F71" s="17">
        <v>10212</v>
      </c>
      <c r="G71" s="17">
        <v>226848</v>
      </c>
      <c r="H71" s="17" t="s">
        <v>240</v>
      </c>
      <c r="I71" s="17" t="s">
        <v>199</v>
      </c>
      <c r="J71" s="17" t="s">
        <v>200</v>
      </c>
      <c r="K71" s="17" t="s">
        <v>201</v>
      </c>
      <c r="L71" s="17" t="s">
        <v>108</v>
      </c>
      <c r="M71" s="17" t="s">
        <v>103</v>
      </c>
      <c r="N71" s="17">
        <v>6014244</v>
      </c>
      <c r="O71" s="17" t="s">
        <v>170</v>
      </c>
      <c r="P71" s="17" t="s">
        <v>172</v>
      </c>
      <c r="Q71" s="17" t="s">
        <v>171</v>
      </c>
      <c r="R71" s="19">
        <v>144.1</v>
      </c>
      <c r="S71" s="19">
        <f t="shared" si="1"/>
        <v>140.10695187165774</v>
      </c>
      <c r="T71" s="22">
        <v>0.86722222222222223</v>
      </c>
      <c r="U71" s="17">
        <v>5</v>
      </c>
      <c r="V71" s="17">
        <v>5602801</v>
      </c>
      <c r="W71" s="17" t="s">
        <v>202</v>
      </c>
      <c r="X71" s="17">
        <v>100527265</v>
      </c>
    </row>
    <row r="72" spans="1:24" x14ac:dyDescent="0.3">
      <c r="A72" s="17">
        <v>1142</v>
      </c>
      <c r="B72" s="17" t="s">
        <v>161</v>
      </c>
      <c r="C72" s="18">
        <v>46057</v>
      </c>
      <c r="D72" s="17" t="s">
        <v>197</v>
      </c>
      <c r="E72" s="17">
        <v>1</v>
      </c>
      <c r="F72" s="17">
        <v>10213</v>
      </c>
      <c r="G72" s="17">
        <v>230955</v>
      </c>
      <c r="H72" s="17" t="s">
        <v>241</v>
      </c>
      <c r="I72" s="17" t="s">
        <v>199</v>
      </c>
      <c r="J72" s="17" t="s">
        <v>200</v>
      </c>
      <c r="K72" s="17" t="s">
        <v>201</v>
      </c>
      <c r="L72" s="17" t="s">
        <v>108</v>
      </c>
      <c r="M72" s="17" t="s">
        <v>103</v>
      </c>
      <c r="N72" s="17">
        <v>6014244</v>
      </c>
      <c r="O72" s="17" t="s">
        <v>170</v>
      </c>
      <c r="P72" s="17" t="s">
        <v>172</v>
      </c>
      <c r="Q72" s="17" t="s">
        <v>171</v>
      </c>
      <c r="R72" s="19">
        <v>56.3</v>
      </c>
      <c r="S72" s="19">
        <f t="shared" si="1"/>
        <v>54.739912493923185</v>
      </c>
      <c r="T72" s="22">
        <v>0.86782407407407414</v>
      </c>
      <c r="U72" s="17">
        <v>2</v>
      </c>
      <c r="V72" s="17">
        <v>5602801</v>
      </c>
      <c r="W72" s="17" t="s">
        <v>202</v>
      </c>
      <c r="X72" s="17">
        <v>100527265</v>
      </c>
    </row>
    <row r="73" spans="1:24" x14ac:dyDescent="0.3">
      <c r="A73" s="17">
        <v>1142</v>
      </c>
      <c r="B73" s="17" t="s">
        <v>161</v>
      </c>
      <c r="C73" s="18">
        <v>46057</v>
      </c>
      <c r="D73" s="17" t="s">
        <v>197</v>
      </c>
      <c r="E73" s="17">
        <v>1</v>
      </c>
      <c r="F73" s="17">
        <v>10214</v>
      </c>
      <c r="G73" s="17">
        <v>231960</v>
      </c>
      <c r="H73" s="17" t="s">
        <v>242</v>
      </c>
      <c r="I73" s="17" t="s">
        <v>199</v>
      </c>
      <c r="J73" s="17" t="s">
        <v>200</v>
      </c>
      <c r="K73" s="17" t="s">
        <v>201</v>
      </c>
      <c r="L73" s="17" t="s">
        <v>108</v>
      </c>
      <c r="M73" s="17" t="s">
        <v>103</v>
      </c>
      <c r="N73" s="17">
        <v>6014244</v>
      </c>
      <c r="O73" s="17" t="s">
        <v>170</v>
      </c>
      <c r="P73" s="17" t="s">
        <v>172</v>
      </c>
      <c r="Q73" s="17" t="s">
        <v>171</v>
      </c>
      <c r="R73" s="19">
        <v>20.7</v>
      </c>
      <c r="S73" s="19">
        <f t="shared" si="1"/>
        <v>20.126397666504619</v>
      </c>
      <c r="T73" s="22">
        <v>0.86804398148148154</v>
      </c>
      <c r="U73" s="17">
        <v>1</v>
      </c>
      <c r="V73" s="17">
        <v>5602801</v>
      </c>
      <c r="W73" s="17" t="s">
        <v>202</v>
      </c>
      <c r="X73" s="17">
        <v>100527265</v>
      </c>
    </row>
    <row r="74" spans="1:24" x14ac:dyDescent="0.3">
      <c r="A74" s="17">
        <v>1142</v>
      </c>
      <c r="B74" s="17" t="s">
        <v>161</v>
      </c>
      <c r="C74" s="18">
        <v>46057</v>
      </c>
      <c r="D74" s="17" t="s">
        <v>212</v>
      </c>
      <c r="E74" s="17">
        <v>1</v>
      </c>
      <c r="F74" s="17">
        <v>10216</v>
      </c>
      <c r="G74" s="17">
        <v>200865</v>
      </c>
      <c r="H74" s="17" t="s">
        <v>234</v>
      </c>
      <c r="I74" s="17" t="s">
        <v>199</v>
      </c>
      <c r="J74" s="17" t="s">
        <v>200</v>
      </c>
      <c r="K74" s="17" t="s">
        <v>201</v>
      </c>
      <c r="L74" s="17" t="s">
        <v>108</v>
      </c>
      <c r="M74" s="17" t="s">
        <v>103</v>
      </c>
      <c r="N74" s="17">
        <v>6014244</v>
      </c>
      <c r="O74" s="17" t="s">
        <v>170</v>
      </c>
      <c r="P74" s="17" t="s">
        <v>172</v>
      </c>
      <c r="Q74" s="17" t="s">
        <v>171</v>
      </c>
      <c r="R74" s="19">
        <v>132.4</v>
      </c>
      <c r="S74" s="19">
        <f t="shared" si="1"/>
        <v>128.73116188624212</v>
      </c>
      <c r="T74" s="22">
        <v>0.41594907407407411</v>
      </c>
      <c r="U74" s="17">
        <v>4</v>
      </c>
      <c r="V74" s="17">
        <v>5602801</v>
      </c>
      <c r="W74" s="17" t="s">
        <v>202</v>
      </c>
      <c r="X74" s="17">
        <v>100527148</v>
      </c>
    </row>
    <row r="75" spans="1:24" x14ac:dyDescent="0.3">
      <c r="A75" s="17">
        <v>1142</v>
      </c>
      <c r="B75" s="17" t="s">
        <v>161</v>
      </c>
      <c r="C75" s="18">
        <v>46057</v>
      </c>
      <c r="D75" s="17" t="s">
        <v>212</v>
      </c>
      <c r="E75" s="17">
        <v>1</v>
      </c>
      <c r="F75" s="17">
        <v>10217</v>
      </c>
      <c r="G75" s="17">
        <v>211869</v>
      </c>
      <c r="H75" s="17" t="s">
        <v>235</v>
      </c>
      <c r="I75" s="17" t="s">
        <v>199</v>
      </c>
      <c r="J75" s="17" t="s">
        <v>200</v>
      </c>
      <c r="K75" s="17" t="s">
        <v>201</v>
      </c>
      <c r="L75" s="17" t="s">
        <v>108</v>
      </c>
      <c r="M75" s="17" t="s">
        <v>103</v>
      </c>
      <c r="N75" s="17">
        <v>6014244</v>
      </c>
      <c r="O75" s="17" t="s">
        <v>170</v>
      </c>
      <c r="P75" s="17" t="s">
        <v>172</v>
      </c>
      <c r="Q75" s="17" t="s">
        <v>171</v>
      </c>
      <c r="R75" s="19">
        <v>46</v>
      </c>
      <c r="S75" s="19">
        <f t="shared" si="1"/>
        <v>44.725328147788041</v>
      </c>
      <c r="T75" s="22">
        <v>0.41623842592592591</v>
      </c>
      <c r="U75" s="17">
        <v>2</v>
      </c>
      <c r="V75" s="17">
        <v>5602801</v>
      </c>
      <c r="W75" s="17" t="s">
        <v>202</v>
      </c>
      <c r="X75" s="17">
        <v>100527148</v>
      </c>
    </row>
    <row r="76" spans="1:24" x14ac:dyDescent="0.3">
      <c r="A76" s="17">
        <v>1142</v>
      </c>
      <c r="B76" s="17" t="s">
        <v>161</v>
      </c>
      <c r="C76" s="18">
        <v>46057</v>
      </c>
      <c r="D76" s="17" t="s">
        <v>212</v>
      </c>
      <c r="E76" s="17">
        <v>1</v>
      </c>
      <c r="F76" s="17">
        <v>10211</v>
      </c>
      <c r="G76" s="17">
        <v>213682</v>
      </c>
      <c r="H76" s="17" t="s">
        <v>236</v>
      </c>
      <c r="I76" s="17" t="s">
        <v>199</v>
      </c>
      <c r="J76" s="17" t="s">
        <v>200</v>
      </c>
      <c r="K76" s="17" t="s">
        <v>201</v>
      </c>
      <c r="L76" s="17" t="s">
        <v>108</v>
      </c>
      <c r="M76" s="17" t="s">
        <v>103</v>
      </c>
      <c r="N76" s="17">
        <v>6014244</v>
      </c>
      <c r="O76" s="17" t="s">
        <v>170</v>
      </c>
      <c r="P76" s="17" t="s">
        <v>172</v>
      </c>
      <c r="Q76" s="17" t="s">
        <v>171</v>
      </c>
      <c r="R76" s="19">
        <v>125.3</v>
      </c>
      <c r="S76" s="19">
        <f t="shared" si="1"/>
        <v>121.82790471560526</v>
      </c>
      <c r="T76" s="22">
        <v>0.41325231481481484</v>
      </c>
      <c r="U76" s="17">
        <v>4</v>
      </c>
      <c r="V76" s="17">
        <v>5602801</v>
      </c>
      <c r="W76" s="17" t="s">
        <v>202</v>
      </c>
      <c r="X76" s="17">
        <v>100527148</v>
      </c>
    </row>
    <row r="77" spans="1:24" x14ac:dyDescent="0.3">
      <c r="A77" s="17">
        <v>1142</v>
      </c>
      <c r="B77" s="17" t="s">
        <v>161</v>
      </c>
      <c r="C77" s="18">
        <v>46057</v>
      </c>
      <c r="D77" s="17" t="s">
        <v>212</v>
      </c>
      <c r="E77" s="17">
        <v>1</v>
      </c>
      <c r="F77" s="17">
        <v>10210</v>
      </c>
      <c r="G77" s="17">
        <v>215419</v>
      </c>
      <c r="H77" s="17" t="s">
        <v>237</v>
      </c>
      <c r="I77" s="17" t="s">
        <v>199</v>
      </c>
      <c r="J77" s="17" t="s">
        <v>200</v>
      </c>
      <c r="K77" s="17" t="s">
        <v>201</v>
      </c>
      <c r="L77" s="17" t="s">
        <v>108</v>
      </c>
      <c r="M77" s="17" t="s">
        <v>103</v>
      </c>
      <c r="N77" s="17">
        <v>6014244</v>
      </c>
      <c r="O77" s="17" t="s">
        <v>170</v>
      </c>
      <c r="P77" s="17" t="s">
        <v>172</v>
      </c>
      <c r="Q77" s="17" t="s">
        <v>171</v>
      </c>
      <c r="R77" s="19">
        <v>22.9</v>
      </c>
      <c r="S77" s="19">
        <f t="shared" si="1"/>
        <v>22.265435099659697</v>
      </c>
      <c r="T77" s="22">
        <v>0.41285879629629635</v>
      </c>
      <c r="U77" s="17">
        <v>1</v>
      </c>
      <c r="V77" s="17">
        <v>5602801</v>
      </c>
      <c r="W77" s="17" t="s">
        <v>202</v>
      </c>
      <c r="X77" s="17">
        <v>100527148</v>
      </c>
    </row>
    <row r="78" spans="1:24" x14ac:dyDescent="0.3">
      <c r="A78" s="17">
        <v>1142</v>
      </c>
      <c r="B78" s="17" t="s">
        <v>161</v>
      </c>
      <c r="C78" s="18">
        <v>46057</v>
      </c>
      <c r="D78" s="17" t="s">
        <v>212</v>
      </c>
      <c r="E78" s="17">
        <v>1</v>
      </c>
      <c r="F78" s="17">
        <v>10218</v>
      </c>
      <c r="G78" s="17">
        <v>218888</v>
      </c>
      <c r="H78" s="17" t="s">
        <v>238</v>
      </c>
      <c r="I78" s="17" t="s">
        <v>199</v>
      </c>
      <c r="J78" s="17" t="s">
        <v>200</v>
      </c>
      <c r="K78" s="17" t="s">
        <v>201</v>
      </c>
      <c r="L78" s="17" t="s">
        <v>108</v>
      </c>
      <c r="M78" s="17" t="s">
        <v>103</v>
      </c>
      <c r="N78" s="17">
        <v>6014244</v>
      </c>
      <c r="O78" s="17" t="s">
        <v>170</v>
      </c>
      <c r="P78" s="17" t="s">
        <v>172</v>
      </c>
      <c r="Q78" s="17" t="s">
        <v>171</v>
      </c>
      <c r="R78" s="19">
        <v>121.9</v>
      </c>
      <c r="S78" s="19">
        <f t="shared" si="1"/>
        <v>118.52211959163832</v>
      </c>
      <c r="T78" s="22">
        <v>0.41597222222222219</v>
      </c>
      <c r="U78" s="17">
        <v>4</v>
      </c>
      <c r="V78" s="17">
        <v>5602801</v>
      </c>
      <c r="W78" s="17" t="s">
        <v>202</v>
      </c>
      <c r="X78" s="17">
        <v>100527148</v>
      </c>
    </row>
    <row r="79" spans="1:24" x14ac:dyDescent="0.3">
      <c r="A79" s="17">
        <v>1142</v>
      </c>
      <c r="B79" s="17" t="s">
        <v>161</v>
      </c>
      <c r="C79" s="18">
        <v>46057</v>
      </c>
      <c r="D79" s="17" t="s">
        <v>212</v>
      </c>
      <c r="E79" s="17">
        <v>1</v>
      </c>
      <c r="F79" s="17">
        <v>10219</v>
      </c>
      <c r="G79" s="17">
        <v>218888</v>
      </c>
      <c r="H79" s="17" t="s">
        <v>238</v>
      </c>
      <c r="I79" s="17" t="s">
        <v>199</v>
      </c>
      <c r="J79" s="17" t="s">
        <v>200</v>
      </c>
      <c r="K79" s="17" t="s">
        <v>201</v>
      </c>
      <c r="L79" s="17" t="s">
        <v>108</v>
      </c>
      <c r="M79" s="17" t="s">
        <v>103</v>
      </c>
      <c r="N79" s="17">
        <v>6014244</v>
      </c>
      <c r="O79" s="17" t="s">
        <v>170</v>
      </c>
      <c r="P79" s="17" t="s">
        <v>172</v>
      </c>
      <c r="Q79" s="17" t="s">
        <v>171</v>
      </c>
      <c r="R79" s="19">
        <v>39.4</v>
      </c>
      <c r="S79" s="19">
        <f t="shared" si="1"/>
        <v>38.308215848322803</v>
      </c>
      <c r="T79" s="22">
        <v>0.41733796296296299</v>
      </c>
      <c r="U79" s="17">
        <v>1</v>
      </c>
      <c r="V79" s="17">
        <v>5602801</v>
      </c>
      <c r="W79" s="17" t="s">
        <v>202</v>
      </c>
      <c r="X79" s="17">
        <v>100527148</v>
      </c>
    </row>
    <row r="80" spans="1:24" x14ac:dyDescent="0.3">
      <c r="A80" s="17">
        <v>1142</v>
      </c>
      <c r="B80" s="17" t="s">
        <v>161</v>
      </c>
      <c r="C80" s="18">
        <v>46057</v>
      </c>
      <c r="D80" s="17" t="s">
        <v>212</v>
      </c>
      <c r="E80" s="17">
        <v>1</v>
      </c>
      <c r="F80" s="17">
        <v>10215</v>
      </c>
      <c r="G80" s="17">
        <v>221734</v>
      </c>
      <c r="H80" s="17" t="s">
        <v>239</v>
      </c>
      <c r="I80" s="17" t="s">
        <v>199</v>
      </c>
      <c r="J80" s="17" t="s">
        <v>200</v>
      </c>
      <c r="K80" s="17" t="s">
        <v>201</v>
      </c>
      <c r="L80" s="17" t="s">
        <v>108</v>
      </c>
      <c r="M80" s="17" t="s">
        <v>103</v>
      </c>
      <c r="N80" s="17">
        <v>6014244</v>
      </c>
      <c r="O80" s="17" t="s">
        <v>170</v>
      </c>
      <c r="P80" s="17" t="s">
        <v>172</v>
      </c>
      <c r="Q80" s="17" t="s">
        <v>171</v>
      </c>
      <c r="R80" s="19">
        <v>54.5</v>
      </c>
      <c r="S80" s="19">
        <f t="shared" si="1"/>
        <v>52.989790957705395</v>
      </c>
      <c r="T80" s="22">
        <v>0.41562499999999997</v>
      </c>
      <c r="U80" s="17">
        <v>2</v>
      </c>
      <c r="V80" s="17">
        <v>5602801</v>
      </c>
      <c r="W80" s="17" t="s">
        <v>202</v>
      </c>
      <c r="X80" s="17">
        <v>100527148</v>
      </c>
    </row>
    <row r="81" spans="1:24" x14ac:dyDescent="0.3">
      <c r="A81" s="17">
        <v>1142</v>
      </c>
      <c r="B81" s="17" t="s">
        <v>161</v>
      </c>
      <c r="C81" s="18">
        <v>46057</v>
      </c>
      <c r="D81" s="17" t="s">
        <v>212</v>
      </c>
      <c r="E81" s="17">
        <v>1</v>
      </c>
      <c r="F81" s="17">
        <v>10212</v>
      </c>
      <c r="G81" s="17">
        <v>226848</v>
      </c>
      <c r="H81" s="17" t="s">
        <v>240</v>
      </c>
      <c r="I81" s="17" t="s">
        <v>199</v>
      </c>
      <c r="J81" s="17" t="s">
        <v>200</v>
      </c>
      <c r="K81" s="17" t="s">
        <v>201</v>
      </c>
      <c r="L81" s="17" t="s">
        <v>108</v>
      </c>
      <c r="M81" s="17" t="s">
        <v>103</v>
      </c>
      <c r="N81" s="17">
        <v>6014244</v>
      </c>
      <c r="O81" s="17" t="s">
        <v>170</v>
      </c>
      <c r="P81" s="17" t="s">
        <v>172</v>
      </c>
      <c r="Q81" s="17" t="s">
        <v>171</v>
      </c>
      <c r="R81" s="19">
        <v>189.7</v>
      </c>
      <c r="S81" s="19">
        <f t="shared" si="1"/>
        <v>184.44336412250851</v>
      </c>
      <c r="T81" s="22">
        <v>0.41373842592592597</v>
      </c>
      <c r="U81" s="17">
        <v>6</v>
      </c>
      <c r="V81" s="17">
        <v>5602801</v>
      </c>
      <c r="W81" s="17" t="s">
        <v>202</v>
      </c>
      <c r="X81" s="17">
        <v>100527148</v>
      </c>
    </row>
    <row r="82" spans="1:24" x14ac:dyDescent="0.3">
      <c r="A82" s="17">
        <v>1142</v>
      </c>
      <c r="B82" s="17" t="s">
        <v>161</v>
      </c>
      <c r="C82" s="18">
        <v>46057</v>
      </c>
      <c r="D82" s="17" t="s">
        <v>212</v>
      </c>
      <c r="E82" s="17">
        <v>1</v>
      </c>
      <c r="F82" s="17">
        <v>10213</v>
      </c>
      <c r="G82" s="17">
        <v>230955</v>
      </c>
      <c r="H82" s="17" t="s">
        <v>241</v>
      </c>
      <c r="I82" s="17" t="s">
        <v>199</v>
      </c>
      <c r="J82" s="17" t="s">
        <v>200</v>
      </c>
      <c r="K82" s="17" t="s">
        <v>201</v>
      </c>
      <c r="L82" s="17" t="s">
        <v>108</v>
      </c>
      <c r="M82" s="17" t="s">
        <v>103</v>
      </c>
      <c r="N82" s="17">
        <v>6014244</v>
      </c>
      <c r="O82" s="17" t="s">
        <v>170</v>
      </c>
      <c r="P82" s="17" t="s">
        <v>172</v>
      </c>
      <c r="Q82" s="17" t="s">
        <v>171</v>
      </c>
      <c r="R82" s="19">
        <v>71.900000000000006</v>
      </c>
      <c r="S82" s="19">
        <f t="shared" si="1"/>
        <v>69.907632474477396</v>
      </c>
      <c r="T82" s="22">
        <v>0.4150578703703704</v>
      </c>
      <c r="U82" s="17">
        <v>2</v>
      </c>
      <c r="V82" s="17">
        <v>5602801</v>
      </c>
      <c r="W82" s="17" t="s">
        <v>202</v>
      </c>
      <c r="X82" s="17">
        <v>100527148</v>
      </c>
    </row>
    <row r="83" spans="1:24" x14ac:dyDescent="0.3">
      <c r="A83" s="17">
        <v>1142</v>
      </c>
      <c r="B83" s="17" t="s">
        <v>161</v>
      </c>
      <c r="C83" s="18">
        <v>46057</v>
      </c>
      <c r="D83" s="17" t="s">
        <v>212</v>
      </c>
      <c r="E83" s="17">
        <v>1</v>
      </c>
      <c r="F83" s="17">
        <v>10214</v>
      </c>
      <c r="G83" s="17">
        <v>231960</v>
      </c>
      <c r="H83" s="17" t="s">
        <v>242</v>
      </c>
      <c r="I83" s="17" t="s">
        <v>199</v>
      </c>
      <c r="J83" s="17" t="s">
        <v>200</v>
      </c>
      <c r="K83" s="17" t="s">
        <v>201</v>
      </c>
      <c r="L83" s="17" t="s">
        <v>108</v>
      </c>
      <c r="M83" s="17" t="s">
        <v>103</v>
      </c>
      <c r="N83" s="17">
        <v>6014244</v>
      </c>
      <c r="O83" s="17" t="s">
        <v>170</v>
      </c>
      <c r="P83" s="17" t="s">
        <v>172</v>
      </c>
      <c r="Q83" s="17" t="s">
        <v>171</v>
      </c>
      <c r="R83" s="19">
        <v>38.1</v>
      </c>
      <c r="S83" s="19">
        <f t="shared" si="1"/>
        <v>37.044239183276616</v>
      </c>
      <c r="T83" s="22">
        <v>0.41532407407407407</v>
      </c>
      <c r="U83" s="17">
        <v>1</v>
      </c>
      <c r="V83" s="17">
        <v>5602801</v>
      </c>
      <c r="W83" s="17" t="s">
        <v>202</v>
      </c>
      <c r="X83" s="17">
        <v>100527148</v>
      </c>
    </row>
    <row r="84" spans="1:24" x14ac:dyDescent="0.3">
      <c r="A84" s="17">
        <v>1142</v>
      </c>
      <c r="B84" s="17" t="s">
        <v>161</v>
      </c>
      <c r="C84" s="18">
        <v>46057</v>
      </c>
      <c r="D84" s="17" t="s">
        <v>197</v>
      </c>
      <c r="E84" s="17">
        <v>1</v>
      </c>
      <c r="F84" s="17">
        <v>10116</v>
      </c>
      <c r="G84" s="17">
        <v>202545</v>
      </c>
      <c r="H84" s="17" t="s">
        <v>243</v>
      </c>
      <c r="I84" s="17" t="s">
        <v>199</v>
      </c>
      <c r="J84" s="17" t="s">
        <v>200</v>
      </c>
      <c r="K84" s="17" t="s">
        <v>201</v>
      </c>
      <c r="L84" s="17" t="s">
        <v>109</v>
      </c>
      <c r="M84" s="17" t="s">
        <v>173</v>
      </c>
      <c r="N84" s="17">
        <v>6006014</v>
      </c>
      <c r="O84" s="17" t="s">
        <v>174</v>
      </c>
      <c r="P84" s="17" t="s">
        <v>164</v>
      </c>
      <c r="Q84" s="17" t="s">
        <v>175</v>
      </c>
      <c r="R84" s="19">
        <v>59.4</v>
      </c>
      <c r="S84" s="19">
        <f t="shared" si="1"/>
        <v>57.754010695187169</v>
      </c>
      <c r="T84" s="22">
        <v>0.84807870370370375</v>
      </c>
      <c r="U84" s="17">
        <v>2</v>
      </c>
      <c r="V84" s="17">
        <v>5602801</v>
      </c>
      <c r="W84" s="17" t="s">
        <v>202</v>
      </c>
      <c r="X84" s="17">
        <v>100527265</v>
      </c>
    </row>
    <row r="85" spans="1:24" x14ac:dyDescent="0.3">
      <c r="A85" s="17">
        <v>1142</v>
      </c>
      <c r="B85" s="17" t="s">
        <v>161</v>
      </c>
      <c r="C85" s="18">
        <v>46057</v>
      </c>
      <c r="D85" s="17" t="s">
        <v>197</v>
      </c>
      <c r="E85" s="17">
        <v>1</v>
      </c>
      <c r="F85" s="17">
        <v>10111</v>
      </c>
      <c r="G85" s="17">
        <v>206573</v>
      </c>
      <c r="H85" s="17" t="s">
        <v>244</v>
      </c>
      <c r="I85" s="17" t="s">
        <v>199</v>
      </c>
      <c r="J85" s="17" t="s">
        <v>200</v>
      </c>
      <c r="K85" s="17" t="s">
        <v>201</v>
      </c>
      <c r="L85" s="17" t="s">
        <v>109</v>
      </c>
      <c r="M85" s="17" t="s">
        <v>173</v>
      </c>
      <c r="N85" s="17">
        <v>6006014</v>
      </c>
      <c r="O85" s="17" t="s">
        <v>174</v>
      </c>
      <c r="P85" s="17" t="s">
        <v>164</v>
      </c>
      <c r="Q85" s="17" t="s">
        <v>175</v>
      </c>
      <c r="R85" s="19">
        <v>178.1</v>
      </c>
      <c r="S85" s="19">
        <f t="shared" si="1"/>
        <v>173.16480311132719</v>
      </c>
      <c r="T85" s="22">
        <v>0.84665509259259253</v>
      </c>
      <c r="U85" s="17">
        <v>5</v>
      </c>
      <c r="V85" s="17">
        <v>5602801</v>
      </c>
      <c r="W85" s="17" t="s">
        <v>202</v>
      </c>
      <c r="X85" s="17">
        <v>100527265</v>
      </c>
    </row>
    <row r="86" spans="1:24" x14ac:dyDescent="0.3">
      <c r="A86" s="17">
        <v>1142</v>
      </c>
      <c r="B86" s="17" t="s">
        <v>161</v>
      </c>
      <c r="C86" s="18">
        <v>46057</v>
      </c>
      <c r="D86" s="17" t="s">
        <v>197</v>
      </c>
      <c r="E86" s="17">
        <v>1</v>
      </c>
      <c r="F86" s="17">
        <v>10114</v>
      </c>
      <c r="G86" s="17">
        <v>222967</v>
      </c>
      <c r="H86" s="17" t="s">
        <v>245</v>
      </c>
      <c r="I86" s="17" t="s">
        <v>199</v>
      </c>
      <c r="J86" s="17" t="s">
        <v>200</v>
      </c>
      <c r="K86" s="17" t="s">
        <v>201</v>
      </c>
      <c r="L86" s="17" t="s">
        <v>109</v>
      </c>
      <c r="M86" s="17" t="s">
        <v>173</v>
      </c>
      <c r="N86" s="17">
        <v>6006014</v>
      </c>
      <c r="O86" s="17" t="s">
        <v>174</v>
      </c>
      <c r="P86" s="17" t="s">
        <v>164</v>
      </c>
      <c r="Q86" s="17" t="s">
        <v>175</v>
      </c>
      <c r="R86" s="19">
        <v>3.8</v>
      </c>
      <c r="S86" s="19">
        <f t="shared" si="1"/>
        <v>3.6947010209042292</v>
      </c>
      <c r="T86" s="22">
        <v>0.84756944444444438</v>
      </c>
      <c r="U86" s="17">
        <v>1</v>
      </c>
      <c r="V86" s="17">
        <v>5602801</v>
      </c>
      <c r="W86" s="17" t="s">
        <v>202</v>
      </c>
      <c r="X86" s="17">
        <v>100527265</v>
      </c>
    </row>
    <row r="87" spans="1:24" x14ac:dyDescent="0.3">
      <c r="A87" s="17">
        <v>1142</v>
      </c>
      <c r="B87" s="17" t="s">
        <v>161</v>
      </c>
      <c r="C87" s="18">
        <v>46057</v>
      </c>
      <c r="D87" s="17" t="s">
        <v>197</v>
      </c>
      <c r="E87" s="17">
        <v>1</v>
      </c>
      <c r="F87" s="17">
        <v>10112</v>
      </c>
      <c r="G87" s="17">
        <v>227430</v>
      </c>
      <c r="H87" s="17" t="s">
        <v>246</v>
      </c>
      <c r="I87" s="17" t="s">
        <v>199</v>
      </c>
      <c r="J87" s="17" t="s">
        <v>200</v>
      </c>
      <c r="K87" s="17" t="s">
        <v>201</v>
      </c>
      <c r="L87" s="17" t="s">
        <v>109</v>
      </c>
      <c r="M87" s="17" t="s">
        <v>173</v>
      </c>
      <c r="N87" s="17">
        <v>6006014</v>
      </c>
      <c r="O87" s="17" t="s">
        <v>174</v>
      </c>
      <c r="P87" s="17" t="s">
        <v>164</v>
      </c>
      <c r="Q87" s="17" t="s">
        <v>175</v>
      </c>
      <c r="R87" s="19">
        <v>27.7</v>
      </c>
      <c r="S87" s="19">
        <f t="shared" si="1"/>
        <v>26.932425862907145</v>
      </c>
      <c r="T87" s="22">
        <v>0.84696759259259258</v>
      </c>
      <c r="U87" s="17">
        <v>1</v>
      </c>
      <c r="V87" s="17">
        <v>5602801</v>
      </c>
      <c r="W87" s="17" t="s">
        <v>202</v>
      </c>
      <c r="X87" s="17">
        <v>100527265</v>
      </c>
    </row>
    <row r="88" spans="1:24" x14ac:dyDescent="0.3">
      <c r="A88" s="17">
        <v>1142</v>
      </c>
      <c r="B88" s="17" t="s">
        <v>161</v>
      </c>
      <c r="C88" s="18">
        <v>46057</v>
      </c>
      <c r="D88" s="17" t="s">
        <v>197</v>
      </c>
      <c r="E88" s="17">
        <v>1</v>
      </c>
      <c r="F88" s="17">
        <v>10113</v>
      </c>
      <c r="G88" s="17">
        <v>230864</v>
      </c>
      <c r="H88" s="17" t="s">
        <v>247</v>
      </c>
      <c r="I88" s="17" t="s">
        <v>199</v>
      </c>
      <c r="J88" s="17" t="s">
        <v>200</v>
      </c>
      <c r="K88" s="17" t="s">
        <v>201</v>
      </c>
      <c r="L88" s="17" t="s">
        <v>109</v>
      </c>
      <c r="M88" s="17" t="s">
        <v>173</v>
      </c>
      <c r="N88" s="17">
        <v>6006014</v>
      </c>
      <c r="O88" s="17" t="s">
        <v>174</v>
      </c>
      <c r="P88" s="17" t="s">
        <v>164</v>
      </c>
      <c r="Q88" s="17" t="s">
        <v>175</v>
      </c>
      <c r="R88" s="19">
        <v>64</v>
      </c>
      <c r="S88" s="19">
        <f t="shared" si="1"/>
        <v>62.226543509965971</v>
      </c>
      <c r="T88" s="22">
        <v>0.84732638888888889</v>
      </c>
      <c r="U88" s="17">
        <v>2</v>
      </c>
      <c r="V88" s="17">
        <v>5602801</v>
      </c>
      <c r="W88" s="17" t="s">
        <v>202</v>
      </c>
      <c r="X88" s="17">
        <v>100527265</v>
      </c>
    </row>
    <row r="89" spans="1:24" x14ac:dyDescent="0.3">
      <c r="A89" s="17">
        <v>1142</v>
      </c>
      <c r="B89" s="17" t="s">
        <v>161</v>
      </c>
      <c r="C89" s="18">
        <v>46057</v>
      </c>
      <c r="D89" s="17" t="s">
        <v>197</v>
      </c>
      <c r="E89" s="17">
        <v>1</v>
      </c>
      <c r="F89" s="17">
        <v>10115</v>
      </c>
      <c r="G89" s="17">
        <v>231039</v>
      </c>
      <c r="H89" s="17" t="s">
        <v>248</v>
      </c>
      <c r="I89" s="17" t="s">
        <v>199</v>
      </c>
      <c r="J89" s="17" t="s">
        <v>200</v>
      </c>
      <c r="K89" s="17" t="s">
        <v>201</v>
      </c>
      <c r="L89" s="17" t="s">
        <v>109</v>
      </c>
      <c r="M89" s="17" t="s">
        <v>173</v>
      </c>
      <c r="N89" s="17">
        <v>6006014</v>
      </c>
      <c r="O89" s="17" t="s">
        <v>174</v>
      </c>
      <c r="P89" s="17" t="s">
        <v>164</v>
      </c>
      <c r="Q89" s="17" t="s">
        <v>175</v>
      </c>
      <c r="R89" s="19">
        <v>48.9</v>
      </c>
      <c r="S89" s="19">
        <f t="shared" si="1"/>
        <v>47.544968400583372</v>
      </c>
      <c r="T89" s="22">
        <v>0.84780092592592593</v>
      </c>
      <c r="U89" s="17">
        <v>2</v>
      </c>
      <c r="V89" s="17">
        <v>5602801</v>
      </c>
      <c r="W89" s="17" t="s">
        <v>202</v>
      </c>
      <c r="X89" s="17">
        <v>100527265</v>
      </c>
    </row>
    <row r="90" spans="1:24" x14ac:dyDescent="0.3">
      <c r="A90" s="17">
        <v>1142</v>
      </c>
      <c r="B90" s="17" t="s">
        <v>161</v>
      </c>
      <c r="C90" s="18">
        <v>46057</v>
      </c>
      <c r="D90" s="17" t="s">
        <v>212</v>
      </c>
      <c r="E90" s="17">
        <v>1</v>
      </c>
      <c r="F90" s="17">
        <v>10115</v>
      </c>
      <c r="G90" s="17">
        <v>202545</v>
      </c>
      <c r="H90" s="17" t="s">
        <v>243</v>
      </c>
      <c r="I90" s="17" t="s">
        <v>199</v>
      </c>
      <c r="J90" s="17" t="s">
        <v>200</v>
      </c>
      <c r="K90" s="17" t="s">
        <v>201</v>
      </c>
      <c r="L90" s="17" t="s">
        <v>109</v>
      </c>
      <c r="M90" s="17" t="s">
        <v>173</v>
      </c>
      <c r="N90" s="17">
        <v>6006014</v>
      </c>
      <c r="O90" s="17" t="s">
        <v>174</v>
      </c>
      <c r="P90" s="17" t="s">
        <v>164</v>
      </c>
      <c r="Q90" s="17" t="s">
        <v>175</v>
      </c>
      <c r="R90" s="19">
        <v>75.3</v>
      </c>
      <c r="S90" s="19">
        <f t="shared" si="1"/>
        <v>73.213417598444337</v>
      </c>
      <c r="T90" s="22">
        <v>0.37692129629629628</v>
      </c>
      <c r="U90" s="17">
        <v>3</v>
      </c>
      <c r="V90" s="17">
        <v>5602801</v>
      </c>
      <c r="W90" s="17" t="s">
        <v>202</v>
      </c>
      <c r="X90" s="17">
        <v>100527148</v>
      </c>
    </row>
    <row r="91" spans="1:24" x14ac:dyDescent="0.3">
      <c r="A91" s="17">
        <v>1142</v>
      </c>
      <c r="B91" s="17" t="s">
        <v>161</v>
      </c>
      <c r="C91" s="18">
        <v>46057</v>
      </c>
      <c r="D91" s="17" t="s">
        <v>212</v>
      </c>
      <c r="E91" s="17">
        <v>1</v>
      </c>
      <c r="F91" s="17">
        <v>10111</v>
      </c>
      <c r="G91" s="17">
        <v>206573</v>
      </c>
      <c r="H91" s="17" t="s">
        <v>244</v>
      </c>
      <c r="I91" s="17" t="s">
        <v>199</v>
      </c>
      <c r="J91" s="17" t="s">
        <v>200</v>
      </c>
      <c r="K91" s="17" t="s">
        <v>201</v>
      </c>
      <c r="L91" s="17" t="s">
        <v>109</v>
      </c>
      <c r="M91" s="17" t="s">
        <v>173</v>
      </c>
      <c r="N91" s="17">
        <v>6006014</v>
      </c>
      <c r="O91" s="17" t="s">
        <v>174</v>
      </c>
      <c r="P91" s="17" t="s">
        <v>164</v>
      </c>
      <c r="Q91" s="17" t="s">
        <v>175</v>
      </c>
      <c r="R91" s="19">
        <v>253.5</v>
      </c>
      <c r="S91" s="19">
        <f t="shared" si="1"/>
        <v>246.47544968400584</v>
      </c>
      <c r="T91" s="22">
        <v>0.37576388888888884</v>
      </c>
      <c r="U91" s="17">
        <v>7</v>
      </c>
      <c r="V91" s="17">
        <v>5602801</v>
      </c>
      <c r="W91" s="17" t="s">
        <v>202</v>
      </c>
      <c r="X91" s="17">
        <v>100527148</v>
      </c>
    </row>
    <row r="92" spans="1:24" x14ac:dyDescent="0.3">
      <c r="A92" s="17">
        <v>1142</v>
      </c>
      <c r="B92" s="17" t="s">
        <v>161</v>
      </c>
      <c r="C92" s="18">
        <v>46057</v>
      </c>
      <c r="D92" s="17" t="s">
        <v>212</v>
      </c>
      <c r="E92" s="17">
        <v>1</v>
      </c>
      <c r="F92" s="17">
        <v>10116</v>
      </c>
      <c r="G92" s="17">
        <v>222967</v>
      </c>
      <c r="H92" s="17" t="s">
        <v>245</v>
      </c>
      <c r="I92" s="17" t="s">
        <v>199</v>
      </c>
      <c r="J92" s="17" t="s">
        <v>200</v>
      </c>
      <c r="K92" s="17" t="s">
        <v>201</v>
      </c>
      <c r="L92" s="17" t="s">
        <v>109</v>
      </c>
      <c r="M92" s="17" t="s">
        <v>173</v>
      </c>
      <c r="N92" s="17">
        <v>6006014</v>
      </c>
      <c r="O92" s="17" t="s">
        <v>174</v>
      </c>
      <c r="P92" s="17" t="s">
        <v>164</v>
      </c>
      <c r="Q92" s="17" t="s">
        <v>175</v>
      </c>
      <c r="R92" s="19">
        <v>4.9000000000000004</v>
      </c>
      <c r="S92" s="19">
        <f t="shared" si="1"/>
        <v>4.7642197374817696</v>
      </c>
      <c r="T92" s="22">
        <v>0.37714120370370369</v>
      </c>
      <c r="U92" s="17">
        <v>1</v>
      </c>
      <c r="V92" s="17">
        <v>5602801</v>
      </c>
      <c r="W92" s="17" t="s">
        <v>202</v>
      </c>
      <c r="X92" s="17">
        <v>100527148</v>
      </c>
    </row>
    <row r="93" spans="1:24" x14ac:dyDescent="0.3">
      <c r="A93" s="17">
        <v>1142</v>
      </c>
      <c r="B93" s="17" t="s">
        <v>161</v>
      </c>
      <c r="C93" s="18">
        <v>46057</v>
      </c>
      <c r="D93" s="17" t="s">
        <v>212</v>
      </c>
      <c r="E93" s="17">
        <v>1</v>
      </c>
      <c r="F93" s="17">
        <v>10112</v>
      </c>
      <c r="G93" s="17">
        <v>227430</v>
      </c>
      <c r="H93" s="17" t="s">
        <v>246</v>
      </c>
      <c r="I93" s="17" t="s">
        <v>199</v>
      </c>
      <c r="J93" s="17" t="s">
        <v>200</v>
      </c>
      <c r="K93" s="17" t="s">
        <v>201</v>
      </c>
      <c r="L93" s="17" t="s">
        <v>109</v>
      </c>
      <c r="M93" s="17" t="s">
        <v>173</v>
      </c>
      <c r="N93" s="17">
        <v>6006014</v>
      </c>
      <c r="O93" s="17" t="s">
        <v>174</v>
      </c>
      <c r="P93" s="17" t="s">
        <v>164</v>
      </c>
      <c r="Q93" s="17" t="s">
        <v>175</v>
      </c>
      <c r="R93" s="19">
        <v>28.8</v>
      </c>
      <c r="S93" s="19">
        <f t="shared" si="1"/>
        <v>28.00194457948469</v>
      </c>
      <c r="T93" s="22">
        <v>0.3760532407407407</v>
      </c>
      <c r="U93" s="17">
        <v>1</v>
      </c>
      <c r="V93" s="17">
        <v>5602801</v>
      </c>
      <c r="W93" s="17" t="s">
        <v>202</v>
      </c>
      <c r="X93" s="17">
        <v>100527148</v>
      </c>
    </row>
    <row r="94" spans="1:24" x14ac:dyDescent="0.3">
      <c r="A94" s="17">
        <v>1142</v>
      </c>
      <c r="B94" s="17" t="s">
        <v>161</v>
      </c>
      <c r="C94" s="18">
        <v>46057</v>
      </c>
      <c r="D94" s="17" t="s">
        <v>212</v>
      </c>
      <c r="E94" s="17">
        <v>1</v>
      </c>
      <c r="F94" s="17">
        <v>10114</v>
      </c>
      <c r="G94" s="17">
        <v>230864</v>
      </c>
      <c r="H94" s="17" t="s">
        <v>247</v>
      </c>
      <c r="I94" s="17" t="s">
        <v>199</v>
      </c>
      <c r="J94" s="17" t="s">
        <v>200</v>
      </c>
      <c r="K94" s="17" t="s">
        <v>201</v>
      </c>
      <c r="L94" s="17" t="s">
        <v>109</v>
      </c>
      <c r="M94" s="17" t="s">
        <v>173</v>
      </c>
      <c r="N94" s="17">
        <v>6006014</v>
      </c>
      <c r="O94" s="17" t="s">
        <v>174</v>
      </c>
      <c r="P94" s="17" t="s">
        <v>164</v>
      </c>
      <c r="Q94" s="17" t="s">
        <v>175</v>
      </c>
      <c r="R94" s="19">
        <v>75.7</v>
      </c>
      <c r="S94" s="19">
        <f t="shared" si="1"/>
        <v>73.602333495381629</v>
      </c>
      <c r="T94" s="22">
        <v>0.37659722222222225</v>
      </c>
      <c r="U94" s="17">
        <v>2</v>
      </c>
      <c r="V94" s="17">
        <v>5602801</v>
      </c>
      <c r="W94" s="17" t="s">
        <v>202</v>
      </c>
      <c r="X94" s="17">
        <v>100527148</v>
      </c>
    </row>
    <row r="95" spans="1:24" x14ac:dyDescent="0.3">
      <c r="A95" s="17">
        <v>1142</v>
      </c>
      <c r="B95" s="17" t="s">
        <v>161</v>
      </c>
      <c r="C95" s="18">
        <v>46057</v>
      </c>
      <c r="D95" s="17" t="s">
        <v>212</v>
      </c>
      <c r="E95" s="17">
        <v>1</v>
      </c>
      <c r="F95" s="17">
        <v>10113</v>
      </c>
      <c r="G95" s="17">
        <v>231039</v>
      </c>
      <c r="H95" s="17" t="s">
        <v>248</v>
      </c>
      <c r="I95" s="17" t="s">
        <v>199</v>
      </c>
      <c r="J95" s="17" t="s">
        <v>200</v>
      </c>
      <c r="K95" s="17" t="s">
        <v>201</v>
      </c>
      <c r="L95" s="17" t="s">
        <v>109</v>
      </c>
      <c r="M95" s="17" t="s">
        <v>173</v>
      </c>
      <c r="N95" s="17">
        <v>6006014</v>
      </c>
      <c r="O95" s="17" t="s">
        <v>174</v>
      </c>
      <c r="P95" s="17" t="s">
        <v>164</v>
      </c>
      <c r="Q95" s="17" t="s">
        <v>175</v>
      </c>
      <c r="R95" s="19">
        <v>85.3</v>
      </c>
      <c r="S95" s="19">
        <f t="shared" si="1"/>
        <v>82.936315021876524</v>
      </c>
      <c r="T95" s="22">
        <v>0.37630787037037039</v>
      </c>
      <c r="U95" s="17">
        <v>3</v>
      </c>
      <c r="V95" s="17">
        <v>5602801</v>
      </c>
      <c r="W95" s="17" t="s">
        <v>202</v>
      </c>
      <c r="X95" s="17">
        <v>100527148</v>
      </c>
    </row>
    <row r="96" spans="1:24" x14ac:dyDescent="0.3">
      <c r="A96" s="17">
        <v>1142</v>
      </c>
      <c r="B96" s="17" t="s">
        <v>161</v>
      </c>
      <c r="C96" s="18">
        <v>46057</v>
      </c>
      <c r="D96" s="17" t="s">
        <v>197</v>
      </c>
      <c r="E96" s="17">
        <v>1</v>
      </c>
      <c r="F96" s="17">
        <v>10219</v>
      </c>
      <c r="G96" s="17">
        <v>207805</v>
      </c>
      <c r="H96" s="17" t="s">
        <v>249</v>
      </c>
      <c r="I96" s="17" t="s">
        <v>199</v>
      </c>
      <c r="J96" s="17" t="s">
        <v>200</v>
      </c>
      <c r="K96" s="17" t="s">
        <v>201</v>
      </c>
      <c r="L96" s="17" t="s">
        <v>110</v>
      </c>
      <c r="M96" s="17" t="s">
        <v>53</v>
      </c>
      <c r="N96" s="17">
        <v>6015398</v>
      </c>
      <c r="O96" s="17" t="s">
        <v>176</v>
      </c>
      <c r="P96" s="17" t="s">
        <v>172</v>
      </c>
      <c r="Q96" s="17" t="s">
        <v>177</v>
      </c>
      <c r="R96" s="19">
        <v>248.2</v>
      </c>
      <c r="S96" s="19">
        <f t="shared" si="1"/>
        <v>241.32231404958677</v>
      </c>
      <c r="T96" s="22">
        <v>0.87293981481481486</v>
      </c>
      <c r="U96" s="17">
        <v>7</v>
      </c>
      <c r="V96" s="17">
        <v>5602801</v>
      </c>
      <c r="W96" s="17" t="s">
        <v>202</v>
      </c>
      <c r="X96" s="17">
        <v>100527265</v>
      </c>
    </row>
    <row r="97" spans="1:24" x14ac:dyDescent="0.3">
      <c r="A97" s="17">
        <v>1142</v>
      </c>
      <c r="B97" s="17" t="s">
        <v>161</v>
      </c>
      <c r="C97" s="18">
        <v>46057</v>
      </c>
      <c r="D97" s="17" t="s">
        <v>197</v>
      </c>
      <c r="E97" s="17">
        <v>1</v>
      </c>
      <c r="F97" s="17">
        <v>10220</v>
      </c>
      <c r="G97" s="17">
        <v>211867</v>
      </c>
      <c r="H97" s="17" t="s">
        <v>250</v>
      </c>
      <c r="I97" s="17" t="s">
        <v>199</v>
      </c>
      <c r="J97" s="17" t="s">
        <v>200</v>
      </c>
      <c r="K97" s="17" t="s">
        <v>201</v>
      </c>
      <c r="L97" s="17" t="s">
        <v>110</v>
      </c>
      <c r="M97" s="17" t="s">
        <v>53</v>
      </c>
      <c r="N97" s="17">
        <v>6015398</v>
      </c>
      <c r="O97" s="17" t="s">
        <v>176</v>
      </c>
      <c r="P97" s="17" t="s">
        <v>172</v>
      </c>
      <c r="Q97" s="17" t="s">
        <v>177</v>
      </c>
      <c r="R97" s="19">
        <v>70.8</v>
      </c>
      <c r="S97" s="19">
        <f t="shared" si="1"/>
        <v>68.838113757899848</v>
      </c>
      <c r="T97" s="22">
        <v>0.87329861111111118</v>
      </c>
      <c r="U97" s="17">
        <v>3</v>
      </c>
      <c r="V97" s="17">
        <v>5602801</v>
      </c>
      <c r="W97" s="17" t="s">
        <v>202</v>
      </c>
      <c r="X97" s="17">
        <v>100527265</v>
      </c>
    </row>
    <row r="98" spans="1:24" x14ac:dyDescent="0.3">
      <c r="A98" s="17">
        <v>1142</v>
      </c>
      <c r="B98" s="17" t="s">
        <v>161</v>
      </c>
      <c r="C98" s="18">
        <v>46057</v>
      </c>
      <c r="D98" s="17" t="s">
        <v>197</v>
      </c>
      <c r="E98" s="17">
        <v>1</v>
      </c>
      <c r="F98" s="17">
        <v>10222</v>
      </c>
      <c r="G98" s="17">
        <v>225778</v>
      </c>
      <c r="H98" s="17" t="s">
        <v>251</v>
      </c>
      <c r="I98" s="17" t="s">
        <v>199</v>
      </c>
      <c r="J98" s="17" t="s">
        <v>200</v>
      </c>
      <c r="K98" s="17" t="s">
        <v>201</v>
      </c>
      <c r="L98" s="17" t="s">
        <v>110</v>
      </c>
      <c r="M98" s="17" t="s">
        <v>53</v>
      </c>
      <c r="N98" s="17">
        <v>6015398</v>
      </c>
      <c r="O98" s="17" t="s">
        <v>176</v>
      </c>
      <c r="P98" s="17" t="s">
        <v>172</v>
      </c>
      <c r="Q98" s="17" t="s">
        <v>177</v>
      </c>
      <c r="R98" s="19">
        <v>73.900000000000006</v>
      </c>
      <c r="S98" s="19">
        <f t="shared" si="1"/>
        <v>71.852211959163839</v>
      </c>
      <c r="T98" s="22">
        <v>0.87391203703703713</v>
      </c>
      <c r="U98" s="17">
        <v>2</v>
      </c>
      <c r="V98" s="17">
        <v>5602801</v>
      </c>
      <c r="W98" s="17" t="s">
        <v>202</v>
      </c>
      <c r="X98" s="17">
        <v>100527265</v>
      </c>
    </row>
    <row r="99" spans="1:24" x14ac:dyDescent="0.3">
      <c r="A99" s="17">
        <v>1142</v>
      </c>
      <c r="B99" s="17" t="s">
        <v>161</v>
      </c>
      <c r="C99" s="18">
        <v>46057</v>
      </c>
      <c r="D99" s="17" t="s">
        <v>197</v>
      </c>
      <c r="E99" s="17">
        <v>1</v>
      </c>
      <c r="F99" s="17">
        <v>10301</v>
      </c>
      <c r="G99" s="17">
        <v>226794</v>
      </c>
      <c r="H99" s="17" t="s">
        <v>252</v>
      </c>
      <c r="I99" s="17" t="s">
        <v>199</v>
      </c>
      <c r="J99" s="17" t="s">
        <v>200</v>
      </c>
      <c r="K99" s="17" t="s">
        <v>201</v>
      </c>
      <c r="L99" s="17" t="s">
        <v>110</v>
      </c>
      <c r="M99" s="17" t="s">
        <v>53</v>
      </c>
      <c r="N99" s="17">
        <v>6015398</v>
      </c>
      <c r="O99" s="17" t="s">
        <v>176</v>
      </c>
      <c r="P99" s="17" t="s">
        <v>172</v>
      </c>
      <c r="Q99" s="17" t="s">
        <v>177</v>
      </c>
      <c r="R99" s="19">
        <v>5.8</v>
      </c>
      <c r="S99" s="19">
        <f t="shared" si="1"/>
        <v>5.6392805055906656</v>
      </c>
      <c r="T99" s="22">
        <v>0.87460648148148146</v>
      </c>
      <c r="U99" s="17">
        <v>1</v>
      </c>
      <c r="V99" s="17">
        <v>5602801</v>
      </c>
      <c r="W99" s="17" t="s">
        <v>202</v>
      </c>
      <c r="X99" s="17">
        <v>100527265</v>
      </c>
    </row>
    <row r="100" spans="1:24" x14ac:dyDescent="0.3">
      <c r="A100" s="17">
        <v>1142</v>
      </c>
      <c r="B100" s="17" t="s">
        <v>161</v>
      </c>
      <c r="C100" s="18">
        <v>46057</v>
      </c>
      <c r="D100" s="17" t="s">
        <v>197</v>
      </c>
      <c r="E100" s="17">
        <v>1</v>
      </c>
      <c r="F100" s="17">
        <v>10224</v>
      </c>
      <c r="G100" s="17">
        <v>227299</v>
      </c>
      <c r="H100" s="17" t="s">
        <v>253</v>
      </c>
      <c r="I100" s="17" t="s">
        <v>199</v>
      </c>
      <c r="J100" s="17" t="s">
        <v>200</v>
      </c>
      <c r="K100" s="17" t="s">
        <v>201</v>
      </c>
      <c r="L100" s="17" t="s">
        <v>110</v>
      </c>
      <c r="M100" s="17" t="s">
        <v>53</v>
      </c>
      <c r="N100" s="17">
        <v>6015398</v>
      </c>
      <c r="O100" s="17" t="s">
        <v>176</v>
      </c>
      <c r="P100" s="17" t="s">
        <v>172</v>
      </c>
      <c r="Q100" s="17" t="s">
        <v>177</v>
      </c>
      <c r="R100" s="19">
        <v>13.7</v>
      </c>
      <c r="S100" s="19">
        <f t="shared" si="1"/>
        <v>13.32036947010209</v>
      </c>
      <c r="T100" s="22">
        <v>0.87442129629629628</v>
      </c>
      <c r="U100" s="17">
        <v>1</v>
      </c>
      <c r="V100" s="17">
        <v>5602801</v>
      </c>
      <c r="W100" s="17" t="s">
        <v>202</v>
      </c>
      <c r="X100" s="17">
        <v>100527265</v>
      </c>
    </row>
    <row r="101" spans="1:24" x14ac:dyDescent="0.3">
      <c r="A101" s="17">
        <v>1142</v>
      </c>
      <c r="B101" s="17" t="s">
        <v>161</v>
      </c>
      <c r="C101" s="18">
        <v>46057</v>
      </c>
      <c r="D101" s="17" t="s">
        <v>197</v>
      </c>
      <c r="E101" s="17">
        <v>1</v>
      </c>
      <c r="F101" s="17">
        <v>10302</v>
      </c>
      <c r="G101" s="17">
        <v>230654</v>
      </c>
      <c r="H101" s="17" t="s">
        <v>254</v>
      </c>
      <c r="I101" s="17" t="s">
        <v>199</v>
      </c>
      <c r="J101" s="17" t="s">
        <v>200</v>
      </c>
      <c r="K101" s="17" t="s">
        <v>201</v>
      </c>
      <c r="L101" s="17" t="s">
        <v>110</v>
      </c>
      <c r="M101" s="17" t="s">
        <v>53</v>
      </c>
      <c r="N101" s="17">
        <v>6015398</v>
      </c>
      <c r="O101" s="17" t="s">
        <v>176</v>
      </c>
      <c r="P101" s="17" t="s">
        <v>172</v>
      </c>
      <c r="Q101" s="17" t="s">
        <v>177</v>
      </c>
      <c r="R101" s="19">
        <v>78.2</v>
      </c>
      <c r="S101" s="19">
        <f t="shared" si="1"/>
        <v>76.033057851239676</v>
      </c>
      <c r="T101" s="22">
        <v>0.87486111111111109</v>
      </c>
      <c r="U101" s="17">
        <v>3</v>
      </c>
      <c r="V101" s="17">
        <v>5602801</v>
      </c>
      <c r="W101" s="17" t="s">
        <v>202</v>
      </c>
      <c r="X101" s="17">
        <v>100527265</v>
      </c>
    </row>
    <row r="102" spans="1:24" x14ac:dyDescent="0.3">
      <c r="A102" s="17">
        <v>1142</v>
      </c>
      <c r="B102" s="17" t="s">
        <v>161</v>
      </c>
      <c r="C102" s="18">
        <v>46057</v>
      </c>
      <c r="D102" s="17" t="s">
        <v>197</v>
      </c>
      <c r="E102" s="17">
        <v>1</v>
      </c>
      <c r="F102" s="17">
        <v>10223</v>
      </c>
      <c r="G102" s="17">
        <v>231102</v>
      </c>
      <c r="H102" s="17" t="s">
        <v>255</v>
      </c>
      <c r="I102" s="17" t="s">
        <v>199</v>
      </c>
      <c r="J102" s="17" t="s">
        <v>200</v>
      </c>
      <c r="K102" s="17" t="s">
        <v>201</v>
      </c>
      <c r="L102" s="17" t="s">
        <v>110</v>
      </c>
      <c r="M102" s="17" t="s">
        <v>53</v>
      </c>
      <c r="N102" s="17">
        <v>6015398</v>
      </c>
      <c r="O102" s="17" t="s">
        <v>176</v>
      </c>
      <c r="P102" s="17" t="s">
        <v>172</v>
      </c>
      <c r="Q102" s="17" t="s">
        <v>177</v>
      </c>
      <c r="R102" s="19">
        <v>49.1</v>
      </c>
      <c r="S102" s="19">
        <f t="shared" si="1"/>
        <v>47.739426349052017</v>
      </c>
      <c r="T102" s="22">
        <v>0.8741782407407408</v>
      </c>
      <c r="U102" s="17">
        <v>2</v>
      </c>
      <c r="V102" s="17">
        <v>5602801</v>
      </c>
      <c r="W102" s="17" t="s">
        <v>202</v>
      </c>
      <c r="X102" s="17">
        <v>100527265</v>
      </c>
    </row>
    <row r="103" spans="1:24" x14ac:dyDescent="0.3">
      <c r="A103" s="17">
        <v>1142</v>
      </c>
      <c r="B103" s="17" t="s">
        <v>161</v>
      </c>
      <c r="C103" s="18">
        <v>46057</v>
      </c>
      <c r="D103" s="17" t="s">
        <v>197</v>
      </c>
      <c r="E103" s="17">
        <v>1</v>
      </c>
      <c r="F103" s="17">
        <v>10221</v>
      </c>
      <c r="G103" s="17">
        <v>231909</v>
      </c>
      <c r="H103" s="17" t="s">
        <v>256</v>
      </c>
      <c r="I103" s="17" t="s">
        <v>199</v>
      </c>
      <c r="J103" s="17" t="s">
        <v>200</v>
      </c>
      <c r="K103" s="17" t="s">
        <v>201</v>
      </c>
      <c r="L103" s="17" t="s">
        <v>110</v>
      </c>
      <c r="M103" s="17" t="s">
        <v>53</v>
      </c>
      <c r="N103" s="17">
        <v>6015398</v>
      </c>
      <c r="O103" s="17" t="s">
        <v>176</v>
      </c>
      <c r="P103" s="17" t="s">
        <v>172</v>
      </c>
      <c r="Q103" s="17" t="s">
        <v>177</v>
      </c>
      <c r="R103" s="19">
        <v>80.2</v>
      </c>
      <c r="S103" s="19">
        <f t="shared" si="1"/>
        <v>77.977637335926104</v>
      </c>
      <c r="T103" s="22">
        <v>0.87364583333333334</v>
      </c>
      <c r="U103" s="17">
        <v>2</v>
      </c>
      <c r="V103" s="17">
        <v>5602801</v>
      </c>
      <c r="W103" s="17" t="s">
        <v>202</v>
      </c>
      <c r="X103" s="17">
        <v>100527265</v>
      </c>
    </row>
    <row r="104" spans="1:24" x14ac:dyDescent="0.3">
      <c r="A104" s="17">
        <v>1142</v>
      </c>
      <c r="B104" s="17" t="s">
        <v>161</v>
      </c>
      <c r="C104" s="18">
        <v>46057</v>
      </c>
      <c r="D104" s="17" t="s">
        <v>212</v>
      </c>
      <c r="E104" s="17">
        <v>1</v>
      </c>
      <c r="F104" s="17">
        <v>10308</v>
      </c>
      <c r="G104" s="17">
        <v>207805</v>
      </c>
      <c r="H104" s="17" t="s">
        <v>249</v>
      </c>
      <c r="I104" s="17" t="s">
        <v>199</v>
      </c>
      <c r="J104" s="17" t="s">
        <v>200</v>
      </c>
      <c r="K104" s="17" t="s">
        <v>201</v>
      </c>
      <c r="L104" s="17" t="s">
        <v>110</v>
      </c>
      <c r="M104" s="17" t="s">
        <v>53</v>
      </c>
      <c r="N104" s="17">
        <v>6015398</v>
      </c>
      <c r="O104" s="17" t="s">
        <v>176</v>
      </c>
      <c r="P104" s="17" t="s">
        <v>172</v>
      </c>
      <c r="Q104" s="17" t="s">
        <v>177</v>
      </c>
      <c r="R104" s="19">
        <v>358.9</v>
      </c>
      <c r="S104" s="19">
        <f t="shared" si="1"/>
        <v>348.95478852698102</v>
      </c>
      <c r="T104" s="22">
        <v>0.4430439814814815</v>
      </c>
      <c r="U104" s="17">
        <v>10</v>
      </c>
      <c r="V104" s="17">
        <v>5602801</v>
      </c>
      <c r="W104" s="17" t="s">
        <v>202</v>
      </c>
      <c r="X104" s="17">
        <v>100527148</v>
      </c>
    </row>
    <row r="105" spans="1:24" x14ac:dyDescent="0.3">
      <c r="A105" s="17">
        <v>1142</v>
      </c>
      <c r="B105" s="17" t="s">
        <v>161</v>
      </c>
      <c r="C105" s="18">
        <v>46057</v>
      </c>
      <c r="D105" s="17" t="s">
        <v>212</v>
      </c>
      <c r="E105" s="17">
        <v>1</v>
      </c>
      <c r="F105" s="17">
        <v>10310</v>
      </c>
      <c r="G105" s="17">
        <v>211867</v>
      </c>
      <c r="H105" s="17" t="s">
        <v>250</v>
      </c>
      <c r="I105" s="17" t="s">
        <v>199</v>
      </c>
      <c r="J105" s="17" t="s">
        <v>200</v>
      </c>
      <c r="K105" s="17" t="s">
        <v>201</v>
      </c>
      <c r="L105" s="17" t="s">
        <v>110</v>
      </c>
      <c r="M105" s="17" t="s">
        <v>53</v>
      </c>
      <c r="N105" s="17">
        <v>6015398</v>
      </c>
      <c r="O105" s="17" t="s">
        <v>176</v>
      </c>
      <c r="P105" s="17" t="s">
        <v>172</v>
      </c>
      <c r="Q105" s="17" t="s">
        <v>177</v>
      </c>
      <c r="R105" s="19">
        <v>99.4</v>
      </c>
      <c r="S105" s="19">
        <f t="shared" si="1"/>
        <v>96.645600388915909</v>
      </c>
      <c r="T105" s="22">
        <v>0.44394675925925925</v>
      </c>
      <c r="U105" s="17">
        <v>4</v>
      </c>
      <c r="V105" s="17">
        <v>5602801</v>
      </c>
      <c r="W105" s="17" t="s">
        <v>202</v>
      </c>
      <c r="X105" s="17">
        <v>100527148</v>
      </c>
    </row>
    <row r="106" spans="1:24" x14ac:dyDescent="0.3">
      <c r="A106" s="17">
        <v>1142</v>
      </c>
      <c r="B106" s="17" t="s">
        <v>161</v>
      </c>
      <c r="C106" s="18">
        <v>46057</v>
      </c>
      <c r="D106" s="17" t="s">
        <v>212</v>
      </c>
      <c r="E106" s="17">
        <v>1</v>
      </c>
      <c r="F106" s="17">
        <v>10311</v>
      </c>
      <c r="G106" s="17">
        <v>225778</v>
      </c>
      <c r="H106" s="17" t="s">
        <v>251</v>
      </c>
      <c r="I106" s="17" t="s">
        <v>199</v>
      </c>
      <c r="J106" s="17" t="s">
        <v>200</v>
      </c>
      <c r="K106" s="17" t="s">
        <v>201</v>
      </c>
      <c r="L106" s="17" t="s">
        <v>110</v>
      </c>
      <c r="M106" s="17" t="s">
        <v>53</v>
      </c>
      <c r="N106" s="17">
        <v>6015398</v>
      </c>
      <c r="O106" s="17" t="s">
        <v>176</v>
      </c>
      <c r="P106" s="17" t="s">
        <v>172</v>
      </c>
      <c r="Q106" s="17" t="s">
        <v>177</v>
      </c>
      <c r="R106" s="19">
        <v>91</v>
      </c>
      <c r="S106" s="19">
        <f t="shared" si="1"/>
        <v>88.47836655323286</v>
      </c>
      <c r="T106" s="22">
        <v>0.44432870370370375</v>
      </c>
      <c r="U106" s="17">
        <v>3</v>
      </c>
      <c r="V106" s="17">
        <v>5602801</v>
      </c>
      <c r="W106" s="17" t="s">
        <v>202</v>
      </c>
      <c r="X106" s="17">
        <v>100527148</v>
      </c>
    </row>
    <row r="107" spans="1:24" x14ac:dyDescent="0.3">
      <c r="A107" s="17">
        <v>1142</v>
      </c>
      <c r="B107" s="17" t="s">
        <v>161</v>
      </c>
      <c r="C107" s="18">
        <v>46057</v>
      </c>
      <c r="D107" s="17" t="s">
        <v>212</v>
      </c>
      <c r="E107" s="17">
        <v>1</v>
      </c>
      <c r="F107" s="17">
        <v>10313</v>
      </c>
      <c r="G107" s="17">
        <v>226794</v>
      </c>
      <c r="H107" s="17" t="s">
        <v>252</v>
      </c>
      <c r="I107" s="17" t="s">
        <v>199</v>
      </c>
      <c r="J107" s="17" t="s">
        <v>200</v>
      </c>
      <c r="K107" s="17" t="s">
        <v>201</v>
      </c>
      <c r="L107" s="17" t="s">
        <v>110</v>
      </c>
      <c r="M107" s="17" t="s">
        <v>53</v>
      </c>
      <c r="N107" s="17">
        <v>6015398</v>
      </c>
      <c r="O107" s="17" t="s">
        <v>176</v>
      </c>
      <c r="P107" s="17" t="s">
        <v>172</v>
      </c>
      <c r="Q107" s="17" t="s">
        <v>177</v>
      </c>
      <c r="R107" s="19">
        <v>12.8</v>
      </c>
      <c r="S107" s="19">
        <f t="shared" si="1"/>
        <v>12.445308701993195</v>
      </c>
      <c r="T107" s="22">
        <v>0.44488425925925923</v>
      </c>
      <c r="U107" s="17">
        <v>1</v>
      </c>
      <c r="V107" s="17">
        <v>5602801</v>
      </c>
      <c r="W107" s="17" t="s">
        <v>202</v>
      </c>
      <c r="X107" s="17">
        <v>100527148</v>
      </c>
    </row>
    <row r="108" spans="1:24" x14ac:dyDescent="0.3">
      <c r="A108" s="17">
        <v>1142</v>
      </c>
      <c r="B108" s="17" t="s">
        <v>161</v>
      </c>
      <c r="C108" s="18">
        <v>46057</v>
      </c>
      <c r="D108" s="17" t="s">
        <v>212</v>
      </c>
      <c r="E108" s="17">
        <v>1</v>
      </c>
      <c r="F108" s="17">
        <v>10314</v>
      </c>
      <c r="G108" s="17">
        <v>227299</v>
      </c>
      <c r="H108" s="17" t="s">
        <v>253</v>
      </c>
      <c r="I108" s="17" t="s">
        <v>199</v>
      </c>
      <c r="J108" s="17" t="s">
        <v>200</v>
      </c>
      <c r="K108" s="17" t="s">
        <v>201</v>
      </c>
      <c r="L108" s="17" t="s">
        <v>110</v>
      </c>
      <c r="M108" s="17" t="s">
        <v>53</v>
      </c>
      <c r="N108" s="17">
        <v>6015398</v>
      </c>
      <c r="O108" s="17" t="s">
        <v>176</v>
      </c>
      <c r="P108" s="17" t="s">
        <v>172</v>
      </c>
      <c r="Q108" s="17" t="s">
        <v>177</v>
      </c>
      <c r="R108" s="19">
        <v>30.3</v>
      </c>
      <c r="S108" s="19">
        <f t="shared" si="1"/>
        <v>29.460379192999515</v>
      </c>
      <c r="T108" s="22">
        <v>0.4450810185185185</v>
      </c>
      <c r="U108" s="17">
        <v>1</v>
      </c>
      <c r="V108" s="17">
        <v>5602801</v>
      </c>
      <c r="W108" s="17" t="s">
        <v>202</v>
      </c>
      <c r="X108" s="17">
        <v>100527148</v>
      </c>
    </row>
    <row r="109" spans="1:24" x14ac:dyDescent="0.3">
      <c r="A109" s="17">
        <v>1142</v>
      </c>
      <c r="B109" s="17" t="s">
        <v>161</v>
      </c>
      <c r="C109" s="18">
        <v>46057</v>
      </c>
      <c r="D109" s="17" t="s">
        <v>212</v>
      </c>
      <c r="E109" s="17">
        <v>1</v>
      </c>
      <c r="F109" s="17">
        <v>10312</v>
      </c>
      <c r="G109" s="17">
        <v>230654</v>
      </c>
      <c r="H109" s="17" t="s">
        <v>254</v>
      </c>
      <c r="I109" s="17" t="s">
        <v>199</v>
      </c>
      <c r="J109" s="17" t="s">
        <v>200</v>
      </c>
      <c r="K109" s="17" t="s">
        <v>201</v>
      </c>
      <c r="L109" s="17" t="s">
        <v>110</v>
      </c>
      <c r="M109" s="17" t="s">
        <v>53</v>
      </c>
      <c r="N109" s="17">
        <v>6015398</v>
      </c>
      <c r="O109" s="17" t="s">
        <v>176</v>
      </c>
      <c r="P109" s="17" t="s">
        <v>172</v>
      </c>
      <c r="Q109" s="17" t="s">
        <v>177</v>
      </c>
      <c r="R109" s="19">
        <v>94.1</v>
      </c>
      <c r="S109" s="19">
        <f t="shared" si="1"/>
        <v>91.492464754496837</v>
      </c>
      <c r="T109" s="22">
        <v>0.44466435185185182</v>
      </c>
      <c r="U109" s="17">
        <v>3</v>
      </c>
      <c r="V109" s="17">
        <v>5602801</v>
      </c>
      <c r="W109" s="17" t="s">
        <v>202</v>
      </c>
      <c r="X109" s="17">
        <v>100527148</v>
      </c>
    </row>
    <row r="110" spans="1:24" x14ac:dyDescent="0.3">
      <c r="A110" s="17">
        <v>1142</v>
      </c>
      <c r="B110" s="17" t="s">
        <v>161</v>
      </c>
      <c r="C110" s="18">
        <v>46057</v>
      </c>
      <c r="D110" s="17" t="s">
        <v>212</v>
      </c>
      <c r="E110" s="17">
        <v>1</v>
      </c>
      <c r="F110" s="17">
        <v>10315</v>
      </c>
      <c r="G110" s="17">
        <v>231102</v>
      </c>
      <c r="H110" s="17" t="s">
        <v>255</v>
      </c>
      <c r="I110" s="17" t="s">
        <v>199</v>
      </c>
      <c r="J110" s="17" t="s">
        <v>200</v>
      </c>
      <c r="K110" s="17" t="s">
        <v>201</v>
      </c>
      <c r="L110" s="17" t="s">
        <v>110</v>
      </c>
      <c r="M110" s="17" t="s">
        <v>53</v>
      </c>
      <c r="N110" s="17">
        <v>6015398</v>
      </c>
      <c r="O110" s="17" t="s">
        <v>176</v>
      </c>
      <c r="P110" s="17" t="s">
        <v>172</v>
      </c>
      <c r="Q110" s="17" t="s">
        <v>177</v>
      </c>
      <c r="R110" s="19">
        <v>69.400000000000006</v>
      </c>
      <c r="S110" s="19">
        <f t="shared" si="1"/>
        <v>67.476908118619363</v>
      </c>
      <c r="T110" s="22">
        <v>0.44533564814814813</v>
      </c>
      <c r="U110" s="17">
        <v>2</v>
      </c>
      <c r="V110" s="17">
        <v>5602801</v>
      </c>
      <c r="W110" s="17" t="s">
        <v>202</v>
      </c>
      <c r="X110" s="17">
        <v>100527148</v>
      </c>
    </row>
    <row r="111" spans="1:24" x14ac:dyDescent="0.3">
      <c r="A111" s="17">
        <v>1142</v>
      </c>
      <c r="B111" s="17" t="s">
        <v>161</v>
      </c>
      <c r="C111" s="18">
        <v>46057</v>
      </c>
      <c r="D111" s="17" t="s">
        <v>212</v>
      </c>
      <c r="E111" s="17">
        <v>1</v>
      </c>
      <c r="F111" s="17">
        <v>10309</v>
      </c>
      <c r="G111" s="17">
        <v>231909</v>
      </c>
      <c r="H111" s="17" t="s">
        <v>256</v>
      </c>
      <c r="I111" s="17" t="s">
        <v>199</v>
      </c>
      <c r="J111" s="17" t="s">
        <v>200</v>
      </c>
      <c r="K111" s="17" t="s">
        <v>201</v>
      </c>
      <c r="L111" s="17" t="s">
        <v>110</v>
      </c>
      <c r="M111" s="17" t="s">
        <v>53</v>
      </c>
      <c r="N111" s="17">
        <v>6015398</v>
      </c>
      <c r="O111" s="17" t="s">
        <v>176</v>
      </c>
      <c r="P111" s="17" t="s">
        <v>172</v>
      </c>
      <c r="Q111" s="17" t="s">
        <v>177</v>
      </c>
      <c r="R111" s="19">
        <v>116.5</v>
      </c>
      <c r="S111" s="19">
        <f t="shared" si="1"/>
        <v>113.27175498298493</v>
      </c>
      <c r="T111" s="22">
        <v>0.44354166666666667</v>
      </c>
      <c r="U111" s="17">
        <v>3</v>
      </c>
      <c r="V111" s="17">
        <v>5602801</v>
      </c>
      <c r="W111" s="17" t="s">
        <v>202</v>
      </c>
      <c r="X111" s="17">
        <v>100527148</v>
      </c>
    </row>
    <row r="112" spans="1:24" x14ac:dyDescent="0.3">
      <c r="A112" s="17">
        <v>1142</v>
      </c>
      <c r="B112" s="17" t="s">
        <v>161</v>
      </c>
      <c r="C112" s="18">
        <v>46057</v>
      </c>
      <c r="D112" s="17" t="s">
        <v>197</v>
      </c>
      <c r="E112" s="17">
        <v>1</v>
      </c>
      <c r="F112" s="17">
        <v>10118</v>
      </c>
      <c r="G112" s="17">
        <v>207814</v>
      </c>
      <c r="H112" s="17" t="s">
        <v>257</v>
      </c>
      <c r="I112" s="17" t="s">
        <v>199</v>
      </c>
      <c r="J112" s="17" t="s">
        <v>200</v>
      </c>
      <c r="K112" s="17" t="s">
        <v>201</v>
      </c>
      <c r="L112" s="17" t="s">
        <v>111</v>
      </c>
      <c r="M112" s="17" t="s">
        <v>178</v>
      </c>
      <c r="N112" s="17">
        <v>6012723</v>
      </c>
      <c r="O112" s="17" t="s">
        <v>179</v>
      </c>
      <c r="P112" s="17" t="s">
        <v>172</v>
      </c>
      <c r="Q112" s="17" t="s">
        <v>180</v>
      </c>
      <c r="R112" s="19">
        <v>221.4</v>
      </c>
      <c r="S112" s="19">
        <f t="shared" si="1"/>
        <v>215.26494895478854</v>
      </c>
      <c r="T112" s="22">
        <v>0.84902777777777771</v>
      </c>
      <c r="U112" s="17">
        <v>6</v>
      </c>
      <c r="V112" s="17">
        <v>5602801</v>
      </c>
      <c r="W112" s="17" t="s">
        <v>202</v>
      </c>
      <c r="X112" s="17">
        <v>100527265</v>
      </c>
    </row>
    <row r="113" spans="1:24" x14ac:dyDescent="0.3">
      <c r="A113" s="17">
        <v>1142</v>
      </c>
      <c r="B113" s="17" t="s">
        <v>161</v>
      </c>
      <c r="C113" s="18">
        <v>46057</v>
      </c>
      <c r="D113" s="17" t="s">
        <v>197</v>
      </c>
      <c r="E113" s="17">
        <v>1</v>
      </c>
      <c r="F113" s="17">
        <v>10119</v>
      </c>
      <c r="G113" s="17">
        <v>215664</v>
      </c>
      <c r="H113" s="17" t="s">
        <v>61</v>
      </c>
      <c r="I113" s="17" t="s">
        <v>199</v>
      </c>
      <c r="J113" s="17" t="s">
        <v>200</v>
      </c>
      <c r="K113" s="17" t="s">
        <v>201</v>
      </c>
      <c r="L113" s="17" t="s">
        <v>111</v>
      </c>
      <c r="M113" s="17" t="s">
        <v>178</v>
      </c>
      <c r="N113" s="17">
        <v>6012723</v>
      </c>
      <c r="O113" s="17" t="s">
        <v>179</v>
      </c>
      <c r="P113" s="17" t="s">
        <v>172</v>
      </c>
      <c r="Q113" s="17" t="s">
        <v>180</v>
      </c>
      <c r="R113" s="19">
        <v>18</v>
      </c>
      <c r="S113" s="19">
        <f t="shared" si="1"/>
        <v>17.501215362177931</v>
      </c>
      <c r="T113" s="22">
        <v>0.84930555555555554</v>
      </c>
      <c r="U113" s="17">
        <v>1</v>
      </c>
      <c r="V113" s="17">
        <v>5602801</v>
      </c>
      <c r="W113" s="17" t="s">
        <v>202</v>
      </c>
      <c r="X113" s="17">
        <v>100527265</v>
      </c>
    </row>
    <row r="114" spans="1:24" x14ac:dyDescent="0.3">
      <c r="A114" s="17">
        <v>1142</v>
      </c>
      <c r="B114" s="17" t="s">
        <v>161</v>
      </c>
      <c r="C114" s="18">
        <v>46057</v>
      </c>
      <c r="D114" s="17" t="s">
        <v>197</v>
      </c>
      <c r="E114" s="17">
        <v>1</v>
      </c>
      <c r="F114" s="17">
        <v>10124</v>
      </c>
      <c r="G114" s="17">
        <v>216170</v>
      </c>
      <c r="H114" s="17" t="s">
        <v>258</v>
      </c>
      <c r="I114" s="17" t="s">
        <v>199</v>
      </c>
      <c r="J114" s="17" t="s">
        <v>200</v>
      </c>
      <c r="K114" s="17" t="s">
        <v>201</v>
      </c>
      <c r="L114" s="17" t="s">
        <v>111</v>
      </c>
      <c r="M114" s="17" t="s">
        <v>178</v>
      </c>
      <c r="N114" s="17">
        <v>6012723</v>
      </c>
      <c r="O114" s="17" t="s">
        <v>179</v>
      </c>
      <c r="P114" s="17" t="s">
        <v>172</v>
      </c>
      <c r="Q114" s="17" t="s">
        <v>180</v>
      </c>
      <c r="R114" s="19">
        <v>34.799999999999997</v>
      </c>
      <c r="S114" s="19">
        <f t="shared" si="1"/>
        <v>33.835683033543994</v>
      </c>
      <c r="T114" s="22">
        <v>0.85050925925925924</v>
      </c>
      <c r="U114" s="17">
        <v>1</v>
      </c>
      <c r="V114" s="17">
        <v>5602801</v>
      </c>
      <c r="W114" s="17" t="s">
        <v>202</v>
      </c>
      <c r="X114" s="17">
        <v>100527265</v>
      </c>
    </row>
    <row r="115" spans="1:24" x14ac:dyDescent="0.3">
      <c r="A115" s="17">
        <v>1142</v>
      </c>
      <c r="B115" s="17" t="s">
        <v>161</v>
      </c>
      <c r="C115" s="18">
        <v>46057</v>
      </c>
      <c r="D115" s="17" t="s">
        <v>197</v>
      </c>
      <c r="E115" s="17">
        <v>1</v>
      </c>
      <c r="F115" s="17">
        <v>10120</v>
      </c>
      <c r="G115" s="17">
        <v>216784</v>
      </c>
      <c r="H115" s="17" t="s">
        <v>65</v>
      </c>
      <c r="I115" s="17" t="s">
        <v>199</v>
      </c>
      <c r="J115" s="17" t="s">
        <v>200</v>
      </c>
      <c r="K115" s="17" t="s">
        <v>201</v>
      </c>
      <c r="L115" s="17" t="s">
        <v>111</v>
      </c>
      <c r="M115" s="17" t="s">
        <v>178</v>
      </c>
      <c r="N115" s="17">
        <v>6012723</v>
      </c>
      <c r="O115" s="17" t="s">
        <v>179</v>
      </c>
      <c r="P115" s="17" t="s">
        <v>172</v>
      </c>
      <c r="Q115" s="17" t="s">
        <v>180</v>
      </c>
      <c r="R115" s="19">
        <v>18.2</v>
      </c>
      <c r="S115" s="19">
        <f t="shared" si="1"/>
        <v>17.695673310646573</v>
      </c>
      <c r="T115" s="22">
        <v>0.84952546296296294</v>
      </c>
      <c r="U115" s="17">
        <v>1</v>
      </c>
      <c r="V115" s="17">
        <v>5602801</v>
      </c>
      <c r="W115" s="17" t="s">
        <v>202</v>
      </c>
      <c r="X115" s="17">
        <v>100527265</v>
      </c>
    </row>
    <row r="116" spans="1:24" x14ac:dyDescent="0.3">
      <c r="A116" s="17">
        <v>1142</v>
      </c>
      <c r="B116" s="17" t="s">
        <v>161</v>
      </c>
      <c r="C116" s="18">
        <v>46057</v>
      </c>
      <c r="D116" s="17" t="s">
        <v>197</v>
      </c>
      <c r="E116" s="17">
        <v>1</v>
      </c>
      <c r="F116" s="17">
        <v>10123</v>
      </c>
      <c r="G116" s="17">
        <v>221328</v>
      </c>
      <c r="H116" s="17" t="s">
        <v>259</v>
      </c>
      <c r="I116" s="17" t="s">
        <v>199</v>
      </c>
      <c r="J116" s="17" t="s">
        <v>200</v>
      </c>
      <c r="K116" s="17" t="s">
        <v>201</v>
      </c>
      <c r="L116" s="17" t="s">
        <v>111</v>
      </c>
      <c r="M116" s="17" t="s">
        <v>178</v>
      </c>
      <c r="N116" s="17">
        <v>6012723</v>
      </c>
      <c r="O116" s="17" t="s">
        <v>179</v>
      </c>
      <c r="P116" s="17" t="s">
        <v>172</v>
      </c>
      <c r="Q116" s="17" t="s">
        <v>180</v>
      </c>
      <c r="R116" s="19">
        <v>69.599999999999994</v>
      </c>
      <c r="S116" s="19">
        <f t="shared" si="1"/>
        <v>67.671366067087988</v>
      </c>
      <c r="T116" s="22">
        <v>0.85026620370370365</v>
      </c>
      <c r="U116" s="17">
        <v>2</v>
      </c>
      <c r="V116" s="17">
        <v>5602801</v>
      </c>
      <c r="W116" s="17" t="s">
        <v>202</v>
      </c>
      <c r="X116" s="17">
        <v>100527265</v>
      </c>
    </row>
    <row r="117" spans="1:24" x14ac:dyDescent="0.3">
      <c r="A117" s="17">
        <v>1142</v>
      </c>
      <c r="B117" s="17" t="s">
        <v>161</v>
      </c>
      <c r="C117" s="18">
        <v>46057</v>
      </c>
      <c r="D117" s="17" t="s">
        <v>197</v>
      </c>
      <c r="E117" s="17">
        <v>1</v>
      </c>
      <c r="F117" s="17">
        <v>10121</v>
      </c>
      <c r="G117" s="17">
        <v>223997</v>
      </c>
      <c r="H117" s="17" t="s">
        <v>260</v>
      </c>
      <c r="I117" s="17" t="s">
        <v>199</v>
      </c>
      <c r="J117" s="17" t="s">
        <v>200</v>
      </c>
      <c r="K117" s="17" t="s">
        <v>201</v>
      </c>
      <c r="L117" s="17" t="s">
        <v>111</v>
      </c>
      <c r="M117" s="17" t="s">
        <v>178</v>
      </c>
      <c r="N117" s="17">
        <v>6012723</v>
      </c>
      <c r="O117" s="17" t="s">
        <v>179</v>
      </c>
      <c r="P117" s="17" t="s">
        <v>172</v>
      </c>
      <c r="Q117" s="17" t="s">
        <v>180</v>
      </c>
      <c r="R117" s="19">
        <v>21.4</v>
      </c>
      <c r="S117" s="19">
        <f t="shared" si="1"/>
        <v>20.807000486144869</v>
      </c>
      <c r="T117" s="22">
        <v>0.8497337962962962</v>
      </c>
      <c r="U117" s="17">
        <v>1</v>
      </c>
      <c r="V117" s="17">
        <v>5602801</v>
      </c>
      <c r="W117" s="17" t="s">
        <v>202</v>
      </c>
      <c r="X117" s="17">
        <v>100527265</v>
      </c>
    </row>
    <row r="118" spans="1:24" x14ac:dyDescent="0.3">
      <c r="A118" s="17">
        <v>1142</v>
      </c>
      <c r="B118" s="17" t="s">
        <v>161</v>
      </c>
      <c r="C118" s="18">
        <v>46057</v>
      </c>
      <c r="D118" s="17" t="s">
        <v>197</v>
      </c>
      <c r="E118" s="17">
        <v>1</v>
      </c>
      <c r="F118" s="17">
        <v>10122</v>
      </c>
      <c r="G118" s="17">
        <v>224112</v>
      </c>
      <c r="H118" s="17" t="s">
        <v>261</v>
      </c>
      <c r="I118" s="17" t="s">
        <v>199</v>
      </c>
      <c r="J118" s="17" t="s">
        <v>200</v>
      </c>
      <c r="K118" s="17" t="s">
        <v>201</v>
      </c>
      <c r="L118" s="17" t="s">
        <v>111</v>
      </c>
      <c r="M118" s="17" t="s">
        <v>178</v>
      </c>
      <c r="N118" s="17">
        <v>6012723</v>
      </c>
      <c r="O118" s="17" t="s">
        <v>179</v>
      </c>
      <c r="P118" s="17" t="s">
        <v>172</v>
      </c>
      <c r="Q118" s="17" t="s">
        <v>180</v>
      </c>
      <c r="R118" s="19">
        <v>65.099999999999994</v>
      </c>
      <c r="S118" s="19">
        <f t="shared" si="1"/>
        <v>63.296062226543505</v>
      </c>
      <c r="T118" s="22">
        <v>0.85</v>
      </c>
      <c r="U118" s="17">
        <v>2</v>
      </c>
      <c r="V118" s="17">
        <v>5602801</v>
      </c>
      <c r="W118" s="17" t="s">
        <v>202</v>
      </c>
      <c r="X118" s="17">
        <v>100527265</v>
      </c>
    </row>
    <row r="119" spans="1:24" x14ac:dyDescent="0.3">
      <c r="A119" s="17">
        <v>1142</v>
      </c>
      <c r="B119" s="17" t="s">
        <v>161</v>
      </c>
      <c r="C119" s="18">
        <v>46057</v>
      </c>
      <c r="D119" s="17" t="s">
        <v>197</v>
      </c>
      <c r="E119" s="17">
        <v>1</v>
      </c>
      <c r="F119" s="17">
        <v>10117</v>
      </c>
      <c r="G119" s="17">
        <v>226602</v>
      </c>
      <c r="H119" s="17" t="s">
        <v>69</v>
      </c>
      <c r="I119" s="17" t="s">
        <v>199</v>
      </c>
      <c r="J119" s="17" t="s">
        <v>200</v>
      </c>
      <c r="K119" s="17" t="s">
        <v>201</v>
      </c>
      <c r="L119" s="17" t="s">
        <v>111</v>
      </c>
      <c r="M119" s="17" t="s">
        <v>178</v>
      </c>
      <c r="N119" s="17">
        <v>6012723</v>
      </c>
      <c r="O119" s="17" t="s">
        <v>179</v>
      </c>
      <c r="P119" s="17" t="s">
        <v>172</v>
      </c>
      <c r="Q119" s="17" t="s">
        <v>180</v>
      </c>
      <c r="R119" s="19">
        <v>22.1</v>
      </c>
      <c r="S119" s="19">
        <f t="shared" si="1"/>
        <v>21.487603305785125</v>
      </c>
      <c r="T119" s="22">
        <v>0.8485300925925926</v>
      </c>
      <c r="U119" s="17">
        <v>1</v>
      </c>
      <c r="V119" s="17">
        <v>5602801</v>
      </c>
      <c r="W119" s="17" t="s">
        <v>202</v>
      </c>
      <c r="X119" s="17">
        <v>100527265</v>
      </c>
    </row>
    <row r="120" spans="1:24" x14ac:dyDescent="0.3">
      <c r="A120" s="17">
        <v>1142</v>
      </c>
      <c r="B120" s="17" t="s">
        <v>161</v>
      </c>
      <c r="C120" s="18">
        <v>46057</v>
      </c>
      <c r="D120" s="17" t="s">
        <v>212</v>
      </c>
      <c r="E120" s="17">
        <v>1</v>
      </c>
      <c r="F120" s="17">
        <v>10119</v>
      </c>
      <c r="G120" s="17">
        <v>207814</v>
      </c>
      <c r="H120" s="17" t="s">
        <v>257</v>
      </c>
      <c r="I120" s="17" t="s">
        <v>199</v>
      </c>
      <c r="J120" s="17" t="s">
        <v>200</v>
      </c>
      <c r="K120" s="17" t="s">
        <v>201</v>
      </c>
      <c r="L120" s="17" t="s">
        <v>111</v>
      </c>
      <c r="M120" s="17" t="s">
        <v>178</v>
      </c>
      <c r="N120" s="17">
        <v>6012723</v>
      </c>
      <c r="O120" s="17" t="s">
        <v>179</v>
      </c>
      <c r="P120" s="17" t="s">
        <v>172</v>
      </c>
      <c r="Q120" s="17" t="s">
        <v>180</v>
      </c>
      <c r="R120" s="19">
        <v>306</v>
      </c>
      <c r="S120" s="19">
        <f t="shared" si="1"/>
        <v>297.52066115702479</v>
      </c>
      <c r="T120" s="22">
        <v>0.39587962962962964</v>
      </c>
      <c r="U120" s="17">
        <v>8</v>
      </c>
      <c r="V120" s="17">
        <v>5602801</v>
      </c>
      <c r="W120" s="17" t="s">
        <v>202</v>
      </c>
      <c r="X120" s="17">
        <v>100527148</v>
      </c>
    </row>
    <row r="121" spans="1:24" x14ac:dyDescent="0.3">
      <c r="A121" s="17">
        <v>1142</v>
      </c>
      <c r="B121" s="17" t="s">
        <v>161</v>
      </c>
      <c r="C121" s="18">
        <v>46057</v>
      </c>
      <c r="D121" s="17" t="s">
        <v>212</v>
      </c>
      <c r="E121" s="17">
        <v>1</v>
      </c>
      <c r="F121" s="17">
        <v>10122</v>
      </c>
      <c r="G121" s="17">
        <v>215664</v>
      </c>
      <c r="H121" s="17" t="s">
        <v>61</v>
      </c>
      <c r="I121" s="17" t="s">
        <v>199</v>
      </c>
      <c r="J121" s="17" t="s">
        <v>200</v>
      </c>
      <c r="K121" s="17" t="s">
        <v>201</v>
      </c>
      <c r="L121" s="17" t="s">
        <v>111</v>
      </c>
      <c r="M121" s="17" t="s">
        <v>178</v>
      </c>
      <c r="N121" s="17">
        <v>6012723</v>
      </c>
      <c r="O121" s="17" t="s">
        <v>179</v>
      </c>
      <c r="P121" s="17" t="s">
        <v>172</v>
      </c>
      <c r="Q121" s="17" t="s">
        <v>180</v>
      </c>
      <c r="R121" s="19">
        <v>26.9</v>
      </c>
      <c r="S121" s="19">
        <f t="shared" si="1"/>
        <v>26.154594069032569</v>
      </c>
      <c r="T121" s="22">
        <v>0.3967013888888889</v>
      </c>
      <c r="U121" s="17">
        <v>1</v>
      </c>
      <c r="V121" s="17">
        <v>5602801</v>
      </c>
      <c r="W121" s="17" t="s">
        <v>202</v>
      </c>
      <c r="X121" s="17">
        <v>100527148</v>
      </c>
    </row>
    <row r="122" spans="1:24" x14ac:dyDescent="0.3">
      <c r="A122" s="17">
        <v>1142</v>
      </c>
      <c r="B122" s="17" t="s">
        <v>161</v>
      </c>
      <c r="C122" s="18">
        <v>46057</v>
      </c>
      <c r="D122" s="17" t="s">
        <v>212</v>
      </c>
      <c r="E122" s="17">
        <v>1</v>
      </c>
      <c r="F122" s="17">
        <v>10123</v>
      </c>
      <c r="G122" s="17">
        <v>216170</v>
      </c>
      <c r="H122" s="17" t="s">
        <v>258</v>
      </c>
      <c r="I122" s="17" t="s">
        <v>199</v>
      </c>
      <c r="J122" s="17" t="s">
        <v>200</v>
      </c>
      <c r="K122" s="17" t="s">
        <v>201</v>
      </c>
      <c r="L122" s="17" t="s">
        <v>111</v>
      </c>
      <c r="M122" s="17" t="s">
        <v>178</v>
      </c>
      <c r="N122" s="17">
        <v>6012723</v>
      </c>
      <c r="O122" s="17" t="s">
        <v>179</v>
      </c>
      <c r="P122" s="17" t="s">
        <v>172</v>
      </c>
      <c r="Q122" s="17" t="s">
        <v>180</v>
      </c>
      <c r="R122" s="19">
        <v>70.599999999999994</v>
      </c>
      <c r="S122" s="19">
        <f t="shared" si="1"/>
        <v>68.643655809431209</v>
      </c>
      <c r="T122" s="22">
        <v>0.39699074074074076</v>
      </c>
      <c r="U122" s="17">
        <v>2</v>
      </c>
      <c r="V122" s="17">
        <v>5602801</v>
      </c>
      <c r="W122" s="17" t="s">
        <v>202</v>
      </c>
      <c r="X122" s="17">
        <v>100527148</v>
      </c>
    </row>
    <row r="123" spans="1:24" x14ac:dyDescent="0.3">
      <c r="A123" s="17">
        <v>1142</v>
      </c>
      <c r="B123" s="17" t="s">
        <v>161</v>
      </c>
      <c r="C123" s="18">
        <v>46057</v>
      </c>
      <c r="D123" s="17" t="s">
        <v>212</v>
      </c>
      <c r="E123" s="17">
        <v>1</v>
      </c>
      <c r="F123" s="17">
        <v>10118</v>
      </c>
      <c r="G123" s="17">
        <v>216784</v>
      </c>
      <c r="H123" s="17" t="s">
        <v>65</v>
      </c>
      <c r="I123" s="17" t="s">
        <v>199</v>
      </c>
      <c r="J123" s="17" t="s">
        <v>200</v>
      </c>
      <c r="K123" s="17" t="s">
        <v>201</v>
      </c>
      <c r="L123" s="17" t="s">
        <v>111</v>
      </c>
      <c r="M123" s="17" t="s">
        <v>178</v>
      </c>
      <c r="N123" s="17">
        <v>6012723</v>
      </c>
      <c r="O123" s="17" t="s">
        <v>179</v>
      </c>
      <c r="P123" s="17" t="s">
        <v>172</v>
      </c>
      <c r="Q123" s="17" t="s">
        <v>180</v>
      </c>
      <c r="R123" s="19">
        <v>30.3</v>
      </c>
      <c r="S123" s="19">
        <f t="shared" si="1"/>
        <v>29.460379192999515</v>
      </c>
      <c r="T123" s="22">
        <v>0.39521990740740742</v>
      </c>
      <c r="U123" s="17">
        <v>1</v>
      </c>
      <c r="V123" s="17">
        <v>5602801</v>
      </c>
      <c r="W123" s="17" t="s">
        <v>202</v>
      </c>
      <c r="X123" s="17">
        <v>100527148</v>
      </c>
    </row>
    <row r="124" spans="1:24" x14ac:dyDescent="0.3">
      <c r="A124" s="17">
        <v>1142</v>
      </c>
      <c r="B124" s="17" t="s">
        <v>161</v>
      </c>
      <c r="C124" s="18">
        <v>46057</v>
      </c>
      <c r="D124" s="17" t="s">
        <v>212</v>
      </c>
      <c r="E124" s="17">
        <v>1</v>
      </c>
      <c r="F124" s="17">
        <v>10124</v>
      </c>
      <c r="G124" s="17">
        <v>221328</v>
      </c>
      <c r="H124" s="17" t="s">
        <v>259</v>
      </c>
      <c r="I124" s="17" t="s">
        <v>199</v>
      </c>
      <c r="J124" s="17" t="s">
        <v>200</v>
      </c>
      <c r="K124" s="17" t="s">
        <v>201</v>
      </c>
      <c r="L124" s="17" t="s">
        <v>111</v>
      </c>
      <c r="M124" s="17" t="s">
        <v>178</v>
      </c>
      <c r="N124" s="17">
        <v>6012723</v>
      </c>
      <c r="O124" s="17" t="s">
        <v>179</v>
      </c>
      <c r="P124" s="17" t="s">
        <v>172</v>
      </c>
      <c r="Q124" s="17" t="s">
        <v>180</v>
      </c>
      <c r="R124" s="19">
        <v>103.8</v>
      </c>
      <c r="S124" s="19">
        <f t="shared" si="1"/>
        <v>100.92367525522606</v>
      </c>
      <c r="T124" s="22">
        <v>0.39726851851851852</v>
      </c>
      <c r="U124" s="17">
        <v>3</v>
      </c>
      <c r="V124" s="17">
        <v>5602801</v>
      </c>
      <c r="W124" s="17" t="s">
        <v>202</v>
      </c>
      <c r="X124" s="17">
        <v>100527148</v>
      </c>
    </row>
    <row r="125" spans="1:24" x14ac:dyDescent="0.3">
      <c r="A125" s="17">
        <v>1142</v>
      </c>
      <c r="B125" s="17" t="s">
        <v>161</v>
      </c>
      <c r="C125" s="18">
        <v>46057</v>
      </c>
      <c r="D125" s="17" t="s">
        <v>212</v>
      </c>
      <c r="E125" s="17">
        <v>1</v>
      </c>
      <c r="F125" s="17">
        <v>10121</v>
      </c>
      <c r="G125" s="17">
        <v>223997</v>
      </c>
      <c r="H125" s="17" t="s">
        <v>260</v>
      </c>
      <c r="I125" s="17" t="s">
        <v>199</v>
      </c>
      <c r="J125" s="17" t="s">
        <v>200</v>
      </c>
      <c r="K125" s="17" t="s">
        <v>201</v>
      </c>
      <c r="L125" s="17" t="s">
        <v>111</v>
      </c>
      <c r="M125" s="17" t="s">
        <v>178</v>
      </c>
      <c r="N125" s="17">
        <v>6012723</v>
      </c>
      <c r="O125" s="17" t="s">
        <v>179</v>
      </c>
      <c r="P125" s="17" t="s">
        <v>172</v>
      </c>
      <c r="Q125" s="17" t="s">
        <v>180</v>
      </c>
      <c r="R125" s="19">
        <v>28.3</v>
      </c>
      <c r="S125" s="19">
        <f t="shared" si="1"/>
        <v>27.515799708313079</v>
      </c>
      <c r="T125" s="22">
        <v>0.39652777777777781</v>
      </c>
      <c r="U125" s="17">
        <v>1</v>
      </c>
      <c r="V125" s="17">
        <v>5602801</v>
      </c>
      <c r="W125" s="17" t="s">
        <v>202</v>
      </c>
      <c r="X125" s="17">
        <v>100527148</v>
      </c>
    </row>
    <row r="126" spans="1:24" x14ac:dyDescent="0.3">
      <c r="A126" s="17">
        <v>1142</v>
      </c>
      <c r="B126" s="17" t="s">
        <v>161</v>
      </c>
      <c r="C126" s="18">
        <v>46057</v>
      </c>
      <c r="D126" s="17" t="s">
        <v>212</v>
      </c>
      <c r="E126" s="17">
        <v>1</v>
      </c>
      <c r="F126" s="17">
        <v>10120</v>
      </c>
      <c r="G126" s="17">
        <v>224112</v>
      </c>
      <c r="H126" s="17" t="s">
        <v>261</v>
      </c>
      <c r="I126" s="17" t="s">
        <v>199</v>
      </c>
      <c r="J126" s="17" t="s">
        <v>200</v>
      </c>
      <c r="K126" s="17" t="s">
        <v>201</v>
      </c>
      <c r="L126" s="17" t="s">
        <v>111</v>
      </c>
      <c r="M126" s="17" t="s">
        <v>178</v>
      </c>
      <c r="N126" s="17">
        <v>6012723</v>
      </c>
      <c r="O126" s="17" t="s">
        <v>179</v>
      </c>
      <c r="P126" s="17" t="s">
        <v>172</v>
      </c>
      <c r="Q126" s="17" t="s">
        <v>180</v>
      </c>
      <c r="R126" s="19">
        <v>95.2</v>
      </c>
      <c r="S126" s="19">
        <f t="shared" si="1"/>
        <v>92.561983471074385</v>
      </c>
      <c r="T126" s="22">
        <v>0.39628472222222227</v>
      </c>
      <c r="U126" s="17">
        <v>3</v>
      </c>
      <c r="V126" s="17">
        <v>5602801</v>
      </c>
      <c r="W126" s="17" t="s">
        <v>202</v>
      </c>
      <c r="X126" s="17">
        <v>100527148</v>
      </c>
    </row>
    <row r="127" spans="1:24" x14ac:dyDescent="0.3">
      <c r="A127" s="17">
        <v>1142</v>
      </c>
      <c r="B127" s="17" t="s">
        <v>161</v>
      </c>
      <c r="C127" s="18">
        <v>46057</v>
      </c>
      <c r="D127" s="17" t="s">
        <v>212</v>
      </c>
      <c r="E127" s="17">
        <v>1</v>
      </c>
      <c r="F127" s="17">
        <v>10117</v>
      </c>
      <c r="G127" s="17">
        <v>226602</v>
      </c>
      <c r="H127" s="17" t="s">
        <v>69</v>
      </c>
      <c r="I127" s="17" t="s">
        <v>199</v>
      </c>
      <c r="J127" s="17" t="s">
        <v>200</v>
      </c>
      <c r="K127" s="17" t="s">
        <v>201</v>
      </c>
      <c r="L127" s="17" t="s">
        <v>111</v>
      </c>
      <c r="M127" s="17" t="s">
        <v>178</v>
      </c>
      <c r="N127" s="17">
        <v>6012723</v>
      </c>
      <c r="O127" s="17" t="s">
        <v>179</v>
      </c>
      <c r="P127" s="17" t="s">
        <v>172</v>
      </c>
      <c r="Q127" s="17" t="s">
        <v>180</v>
      </c>
      <c r="R127" s="19">
        <v>48.5</v>
      </c>
      <c r="S127" s="19">
        <f t="shared" si="1"/>
        <v>47.156052503646087</v>
      </c>
      <c r="T127" s="22">
        <v>0.3948726851851852</v>
      </c>
      <c r="U127" s="17">
        <v>2</v>
      </c>
      <c r="V127" s="17">
        <v>5602801</v>
      </c>
      <c r="W127" s="17" t="s">
        <v>202</v>
      </c>
      <c r="X127" s="17">
        <v>100527148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workbookViewId="0">
      <selection activeCell="C1" sqref="C1"/>
    </sheetView>
  </sheetViews>
  <sheetFormatPr defaultRowHeight="14.4" x14ac:dyDescent="0.3"/>
  <cols>
    <col min="1" max="1" width="5.5546875" bestFit="1" customWidth="1"/>
    <col min="2" max="2" width="10.5546875" bestFit="1" customWidth="1"/>
    <col min="3" max="3" width="7.6640625" bestFit="1" customWidth="1"/>
    <col min="4" max="4" width="14.6640625" bestFit="1" customWidth="1"/>
    <col min="5" max="16" width="19.44140625" bestFit="1" customWidth="1"/>
  </cols>
  <sheetData>
    <row r="1" spans="1:16" s="67" customFormat="1" ht="28.8" x14ac:dyDescent="0.3">
      <c r="A1" s="66" t="s">
        <v>112</v>
      </c>
      <c r="B1" s="66" t="s">
        <v>280</v>
      </c>
      <c r="C1" s="66" t="s">
        <v>267</v>
      </c>
      <c r="D1" s="66" t="s">
        <v>114</v>
      </c>
      <c r="E1" s="66" t="s">
        <v>268</v>
      </c>
      <c r="F1" s="66" t="s">
        <v>269</v>
      </c>
      <c r="G1" s="66" t="s">
        <v>270</v>
      </c>
      <c r="H1" s="66" t="s">
        <v>271</v>
      </c>
      <c r="I1" s="66" t="s">
        <v>272</v>
      </c>
      <c r="J1" s="66" t="s">
        <v>273</v>
      </c>
      <c r="K1" s="66" t="s">
        <v>274</v>
      </c>
      <c r="L1" s="66" t="s">
        <v>275</v>
      </c>
      <c r="M1" s="66" t="s">
        <v>276</v>
      </c>
      <c r="N1" s="66" t="s">
        <v>277</v>
      </c>
      <c r="O1" s="66" t="s">
        <v>278</v>
      </c>
      <c r="P1" s="66" t="s">
        <v>279</v>
      </c>
    </row>
    <row r="2" spans="1:16" x14ac:dyDescent="0.3">
      <c r="A2" s="2">
        <v>1142</v>
      </c>
      <c r="B2" s="4" t="s">
        <v>161</v>
      </c>
      <c r="C2" s="17" t="s">
        <v>105</v>
      </c>
      <c r="D2" s="39" t="s">
        <v>101</v>
      </c>
      <c r="E2" s="39" t="s">
        <v>18</v>
      </c>
      <c r="F2" s="39" t="s">
        <v>20</v>
      </c>
      <c r="G2" s="39" t="s">
        <v>22</v>
      </c>
      <c r="H2" s="39" t="s">
        <v>24</v>
      </c>
      <c r="I2" s="39" t="s">
        <v>26</v>
      </c>
      <c r="J2" s="39" t="s">
        <v>28</v>
      </c>
      <c r="K2" s="39" t="s">
        <v>30</v>
      </c>
      <c r="L2" s="39" t="s">
        <v>32</v>
      </c>
      <c r="M2" s="39" t="s">
        <v>34</v>
      </c>
      <c r="N2" s="39" t="s">
        <v>36</v>
      </c>
      <c r="O2" s="61"/>
      <c r="P2" s="61"/>
    </row>
    <row r="3" spans="1:16" x14ac:dyDescent="0.3">
      <c r="A3" s="2">
        <v>1142</v>
      </c>
      <c r="B3" s="4" t="s">
        <v>161</v>
      </c>
      <c r="C3" s="17" t="s">
        <v>106</v>
      </c>
      <c r="D3" s="39" t="s">
        <v>121</v>
      </c>
      <c r="E3" s="62" t="s">
        <v>72</v>
      </c>
      <c r="F3" s="62" t="s">
        <v>74</v>
      </c>
      <c r="G3" s="62" t="s">
        <v>76</v>
      </c>
      <c r="H3" s="62"/>
      <c r="I3" s="62" t="s">
        <v>80</v>
      </c>
      <c r="J3" s="62" t="s">
        <v>82</v>
      </c>
      <c r="K3" s="62"/>
      <c r="L3" s="62" t="s">
        <v>84</v>
      </c>
      <c r="M3" s="62" t="s">
        <v>86</v>
      </c>
      <c r="N3" s="63" t="s">
        <v>150</v>
      </c>
      <c r="O3" s="62" t="s">
        <v>88</v>
      </c>
      <c r="P3" s="62" t="s">
        <v>90</v>
      </c>
    </row>
    <row r="4" spans="1:16" x14ac:dyDescent="0.3">
      <c r="A4" s="2">
        <v>1142</v>
      </c>
      <c r="B4" s="4" t="s">
        <v>161</v>
      </c>
      <c r="C4" s="17" t="s">
        <v>107</v>
      </c>
      <c r="D4" s="39" t="s">
        <v>102</v>
      </c>
      <c r="E4" s="63" t="s">
        <v>0</v>
      </c>
      <c r="F4" s="63" t="s">
        <v>1</v>
      </c>
      <c r="G4" s="63" t="s">
        <v>3</v>
      </c>
      <c r="H4" s="63" t="s">
        <v>4</v>
      </c>
      <c r="I4" s="63" t="s">
        <v>5</v>
      </c>
      <c r="J4" s="63" t="s">
        <v>7</v>
      </c>
      <c r="K4" s="63" t="s">
        <v>10</v>
      </c>
      <c r="L4" s="64" t="s">
        <v>129</v>
      </c>
      <c r="M4" s="64" t="s">
        <v>129</v>
      </c>
      <c r="N4" s="61"/>
      <c r="O4" s="61"/>
      <c r="P4" s="61"/>
    </row>
    <row r="5" spans="1:16" x14ac:dyDescent="0.3">
      <c r="A5" s="2">
        <v>1142</v>
      </c>
      <c r="B5" s="4" t="s">
        <v>161</v>
      </c>
      <c r="C5" s="17" t="s">
        <v>108</v>
      </c>
      <c r="D5" s="39" t="s">
        <v>103</v>
      </c>
      <c r="E5" s="39" t="s">
        <v>91</v>
      </c>
      <c r="F5" s="39" t="s">
        <v>92</v>
      </c>
      <c r="G5" s="39" t="s">
        <v>93</v>
      </c>
      <c r="H5" s="39" t="s">
        <v>94</v>
      </c>
      <c r="I5" s="63" t="s">
        <v>148</v>
      </c>
      <c r="J5" s="39"/>
      <c r="K5" s="39" t="s">
        <v>96</v>
      </c>
      <c r="L5" s="39" t="s">
        <v>97</v>
      </c>
      <c r="M5" s="39" t="s">
        <v>98</v>
      </c>
      <c r="N5" s="61"/>
      <c r="O5" s="61"/>
      <c r="P5" s="61"/>
    </row>
    <row r="6" spans="1:16" x14ac:dyDescent="0.3">
      <c r="A6" s="2">
        <v>1142</v>
      </c>
      <c r="B6" s="4" t="s">
        <v>161</v>
      </c>
      <c r="C6" s="17" t="s">
        <v>109</v>
      </c>
      <c r="D6" s="39" t="s">
        <v>104</v>
      </c>
      <c r="E6" s="40" t="s">
        <v>39</v>
      </c>
      <c r="F6" s="40" t="s">
        <v>41</v>
      </c>
      <c r="G6" s="40" t="s">
        <v>12</v>
      </c>
      <c r="H6" s="64" t="s">
        <v>14</v>
      </c>
      <c r="I6" s="39" t="s">
        <v>43</v>
      </c>
      <c r="J6" s="39" t="s">
        <v>45</v>
      </c>
      <c r="K6" s="61"/>
      <c r="L6" s="61"/>
      <c r="M6" s="61"/>
      <c r="N6" s="61"/>
      <c r="O6" s="61"/>
      <c r="P6" s="61"/>
    </row>
    <row r="7" spans="1:16" x14ac:dyDescent="0.3">
      <c r="A7" s="2">
        <v>1142</v>
      </c>
      <c r="B7" s="4" t="s">
        <v>161</v>
      </c>
      <c r="C7" s="17" t="s">
        <v>110</v>
      </c>
      <c r="D7" s="39" t="s">
        <v>53</v>
      </c>
      <c r="E7" s="63" t="s">
        <v>46</v>
      </c>
      <c r="F7" s="63" t="s">
        <v>49</v>
      </c>
      <c r="G7" s="63"/>
      <c r="H7" s="63" t="s">
        <v>50</v>
      </c>
      <c r="I7" s="63" t="s">
        <v>51</v>
      </c>
      <c r="J7" s="63" t="s">
        <v>52</v>
      </c>
      <c r="K7" s="39" t="s">
        <v>138</v>
      </c>
      <c r="L7" s="63" t="s">
        <v>54</v>
      </c>
      <c r="M7" s="61"/>
      <c r="N7" s="61"/>
      <c r="O7" s="61"/>
      <c r="P7" s="61"/>
    </row>
    <row r="8" spans="1:16" x14ac:dyDescent="0.3">
      <c r="A8" s="2">
        <v>1142</v>
      </c>
      <c r="B8" s="4" t="s">
        <v>161</v>
      </c>
      <c r="C8" s="17" t="s">
        <v>111</v>
      </c>
      <c r="D8" s="39" t="s">
        <v>122</v>
      </c>
      <c r="E8" s="65" t="s">
        <v>56</v>
      </c>
      <c r="F8" s="65" t="s">
        <v>58</v>
      </c>
      <c r="G8" s="65" t="s">
        <v>60</v>
      </c>
      <c r="H8" s="65" t="s">
        <v>62</v>
      </c>
      <c r="I8" s="65" t="s">
        <v>64</v>
      </c>
      <c r="J8" s="65" t="s">
        <v>66</v>
      </c>
      <c r="K8" s="65" t="s">
        <v>68</v>
      </c>
      <c r="L8" s="65" t="s">
        <v>70</v>
      </c>
      <c r="M8" s="61"/>
      <c r="N8" s="61"/>
      <c r="O8" s="61"/>
      <c r="P8" s="61"/>
    </row>
    <row r="12" spans="1:16" x14ac:dyDescent="0.3">
      <c r="B12" s="4" t="s">
        <v>161</v>
      </c>
    </row>
    <row r="13" spans="1:16" x14ac:dyDescent="0.3">
      <c r="B13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Master Data</vt:lpstr>
      <vt:lpstr>Milk 04.02.2026</vt:lpstr>
      <vt:lpstr>Route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Shaakshi Lithun</dc:creator>
  <cp:lastModifiedBy>Benazir Fathima</cp:lastModifiedBy>
  <dcterms:created xsi:type="dcterms:W3CDTF">2025-12-05T04:22:57Z</dcterms:created>
  <dcterms:modified xsi:type="dcterms:W3CDTF">2026-02-10T10:39:04Z</dcterms:modified>
</cp:coreProperties>
</file>