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 activeTab="1"/>
  </bookViews>
  <sheets>
    <sheet name="Sheet1" sheetId="1" r:id="rId1"/>
    <sheet name="Gopalwadi" sheetId="2" r:id="rId2"/>
    <sheet name="Gour" sheetId="3" r:id="rId3"/>
    <sheet name="Ter" sheetId="4" r:id="rId4"/>
  </sheets>
  <calcPr calcId="145621"/>
</workbook>
</file>

<file path=xl/calcChain.xml><?xml version="1.0" encoding="utf-8"?>
<calcChain xmlns="http://schemas.openxmlformats.org/spreadsheetml/2006/main">
  <c r="M3" i="1" l="1"/>
  <c r="M4" i="1"/>
  <c r="M2" i="1"/>
  <c r="K3" i="1"/>
  <c r="K4" i="1"/>
  <c r="K2" i="1"/>
  <c r="H4" i="1" l="1"/>
  <c r="G4" i="1"/>
  <c r="H3" i="1"/>
  <c r="G3" i="1"/>
  <c r="L12" i="4"/>
  <c r="K12" i="4"/>
  <c r="L13" i="3"/>
  <c r="K13" i="3"/>
  <c r="G12" i="2"/>
  <c r="L12" i="2"/>
  <c r="K12" i="2"/>
</calcChain>
</file>

<file path=xl/sharedStrings.xml><?xml version="1.0" encoding="utf-8"?>
<sst xmlns="http://schemas.openxmlformats.org/spreadsheetml/2006/main" count="172" uniqueCount="71">
  <si>
    <t>CC Code</t>
  </si>
  <si>
    <t>CC Name</t>
  </si>
  <si>
    <t>Route Name</t>
  </si>
  <si>
    <t>Model</t>
  </si>
  <si>
    <t>Rate</t>
  </si>
  <si>
    <t>Fixed</t>
  </si>
  <si>
    <t>Amount</t>
  </si>
  <si>
    <t>Milk</t>
  </si>
  <si>
    <t>Cost</t>
  </si>
  <si>
    <t>Remarks</t>
  </si>
  <si>
    <t>Malkaranja CC</t>
  </si>
  <si>
    <t>GOPALWADI</t>
  </si>
  <si>
    <t>Pick up</t>
  </si>
  <si>
    <t>28.01.26</t>
  </si>
  <si>
    <t>New Route Opening</t>
  </si>
  <si>
    <t>GOUR</t>
  </si>
  <si>
    <t>TER</t>
  </si>
  <si>
    <t>Upper Route KM</t>
  </si>
  <si>
    <t>S.No</t>
  </si>
  <si>
    <t>HATSUN AGRO PRODUCT LIMITED.,</t>
  </si>
  <si>
    <t>Milk Route Vehicle Running K.M.</t>
  </si>
  <si>
    <t>C.C. Name : Malkaranja CC (1280)</t>
  </si>
  <si>
    <t>Vehicle Model : Pickup</t>
  </si>
  <si>
    <t>Points Sequence</t>
  </si>
  <si>
    <t>SAP Code</t>
  </si>
  <si>
    <t>Name of the HMB / B.V. / Farm / Village</t>
  </si>
  <si>
    <t>Morning</t>
  </si>
  <si>
    <t>Evening</t>
  </si>
  <si>
    <t>Milk Truck Time</t>
  </si>
  <si>
    <t>No. Of Milk Cans</t>
  </si>
  <si>
    <t>Distance in K.M.</t>
  </si>
  <si>
    <t>HMB/B.V/Farm Lat &amp; Long</t>
  </si>
  <si>
    <t>Arrival Time</t>
  </si>
  <si>
    <t>Departure Time</t>
  </si>
  <si>
    <t>CC</t>
  </si>
  <si>
    <t>18.406253381895326, 76.11028540932786</t>
  </si>
  <si>
    <t>18.435216386860343, 76.02716475955654</t>
  </si>
  <si>
    <t>KOMBADWADI</t>
  </si>
  <si>
    <t>18.407258733877278, 76.07658600224336</t>
  </si>
  <si>
    <t>WAKHARWADI</t>
  </si>
  <si>
    <t>18.39542199634785, 76.08193225054356</t>
  </si>
  <si>
    <t>Total</t>
  </si>
  <si>
    <t>Running K.M./ Day</t>
  </si>
  <si>
    <t>W.E.F Date</t>
  </si>
  <si>
    <t>Reason for change &amp; Remarks</t>
  </si>
  <si>
    <t>Old</t>
  </si>
  <si>
    <t>New CC Malkaranja CC</t>
  </si>
  <si>
    <t>New</t>
  </si>
  <si>
    <t>Diff.</t>
  </si>
  <si>
    <t>Google KM</t>
  </si>
  <si>
    <t>18.41333262608095, 75.96754942817007</t>
  </si>
  <si>
    <t>BORDA</t>
  </si>
  <si>
    <t>18.51928247776766, 76.02554268701795</t>
  </si>
  <si>
    <t>GOVINDPUR</t>
  </si>
  <si>
    <t>18.456327, 76.091197</t>
  </si>
  <si>
    <t>MALKARANJA</t>
  </si>
  <si>
    <t>18.416264, 76.095636</t>
  </si>
  <si>
    <t>KHED</t>
  </si>
  <si>
    <t>18.41263170084812, 76.02907303079675</t>
  </si>
  <si>
    <t>18.311175676656045, 76.13675396547396</t>
  </si>
  <si>
    <t>DEOLALI</t>
  </si>
  <si>
    <t>18.408120, 76.134085</t>
  </si>
  <si>
    <t>Km/Day</t>
  </si>
  <si>
    <t>W.E.F</t>
  </si>
  <si>
    <t>26.01.2026</t>
  </si>
  <si>
    <t>M13832</t>
  </si>
  <si>
    <t>M13833</t>
  </si>
  <si>
    <t>Route Name : Gopalwadi (M13831)</t>
  </si>
  <si>
    <t>Route Name : Gour (M13832)</t>
  </si>
  <si>
    <t>Route Name : Ter (M13833)</t>
  </si>
  <si>
    <t>CC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</si>
</sst>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top"/>
    </xf>
    <xf numFmtId="20" fontId="5" fillId="3" borderId="4" xfId="0" applyNumberFormat="1" applyFont="1" applyFill="1" applyBorder="1" applyAlignment="1">
      <alignment horizontal="center" vertical="center"/>
    </xf>
    <xf numFmtId="20" fontId="4" fillId="3" borderId="4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/>
    </xf>
    <xf numFmtId="20" fontId="5" fillId="3" borderId="1" xfId="0" applyNumberFormat="1" applyFont="1" applyFill="1" applyBorder="1" applyAlignment="1">
      <alignment horizontal="center" vertical="center"/>
    </xf>
    <xf numFmtId="20" fontId="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/>
    <xf numFmtId="0" fontId="5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20" fontId="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/>
    <xf numFmtId="20" fontId="1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F2" sqref="F2"/>
    </sheetView>
  </sheetViews>
  <sheetFormatPr defaultRowHeight="15" x14ac:dyDescent="0.25"/>
  <cols>
    <col min="1" max="1" width="6.28515625" bestFit="1" customWidth="1"/>
    <col min="2" max="2" width="8.28515625" bestFit="1" customWidth="1"/>
    <col min="3" max="3" width="13.5703125" bestFit="1" customWidth="1"/>
    <col min="4" max="4" width="12" bestFit="1" customWidth="1"/>
    <col min="5" max="5" width="7.28515625" bestFit="1" customWidth="1"/>
    <col min="6" max="6" width="6" bestFit="1" customWidth="1"/>
    <col min="7" max="7" width="9.7109375" bestFit="1" customWidth="1"/>
    <col min="8" max="8" width="8.7109375" customWidth="1"/>
    <col min="9" max="9" width="5" bestFit="1" customWidth="1"/>
    <col min="10" max="10" width="5.85546875" bestFit="1" customWidth="1"/>
    <col min="11" max="11" width="8.140625" bestFit="1" customWidth="1"/>
    <col min="12" max="12" width="5" bestFit="1" customWidth="1"/>
    <col min="13" max="13" width="4.85546875" bestFit="1" customWidth="1"/>
    <col min="14" max="14" width="8.140625" bestFit="1" customWidth="1"/>
    <col min="15" max="15" width="19.140625" bestFit="1" customWidth="1"/>
    <col min="17" max="17" width="5.42578125" customWidth="1"/>
    <col min="18" max="18" width="8" customWidth="1"/>
    <col min="19" max="19" width="20.42578125" bestFit="1" customWidth="1"/>
    <col min="20" max="20" width="5.42578125" customWidth="1"/>
    <col min="21" max="21" width="16.42578125" bestFit="1" customWidth="1"/>
  </cols>
  <sheetData>
    <row r="1" spans="1:15" s="4" customFormat="1" ht="30" x14ac:dyDescent="0.25">
      <c r="A1" s="3" t="s">
        <v>18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62</v>
      </c>
      <c r="G1" s="3" t="s">
        <v>17</v>
      </c>
      <c r="H1" s="38" t="s">
        <v>49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63</v>
      </c>
      <c r="O1" s="3" t="s">
        <v>9</v>
      </c>
    </row>
    <row r="2" spans="1:15" x14ac:dyDescent="0.25">
      <c r="A2" s="1">
        <v>1</v>
      </c>
      <c r="B2" s="1">
        <v>1280</v>
      </c>
      <c r="C2" s="2" t="s">
        <v>10</v>
      </c>
      <c r="D2" s="2" t="s">
        <v>11</v>
      </c>
      <c r="E2" s="1" t="s">
        <v>12</v>
      </c>
      <c r="F2" s="1">
        <v>86</v>
      </c>
      <c r="G2" s="1">
        <v>89</v>
      </c>
      <c r="H2" s="1">
        <v>78</v>
      </c>
      <c r="I2" s="1">
        <v>7.16</v>
      </c>
      <c r="J2" s="1">
        <v>600</v>
      </c>
      <c r="K2" s="36">
        <f>H2*I2+J2</f>
        <v>1158.48</v>
      </c>
      <c r="L2" s="1">
        <v>1020</v>
      </c>
      <c r="M2" s="1">
        <f>K2/L2</f>
        <v>1.135764705882353</v>
      </c>
      <c r="N2" s="1" t="s">
        <v>13</v>
      </c>
      <c r="O2" s="1" t="s">
        <v>14</v>
      </c>
    </row>
    <row r="3" spans="1:15" x14ac:dyDescent="0.25">
      <c r="A3" s="1">
        <v>2</v>
      </c>
      <c r="B3" s="1">
        <v>1280</v>
      </c>
      <c r="C3" s="2" t="s">
        <v>10</v>
      </c>
      <c r="D3" s="2" t="s">
        <v>15</v>
      </c>
      <c r="E3" s="1" t="s">
        <v>12</v>
      </c>
      <c r="F3" s="1">
        <v>127.6</v>
      </c>
      <c r="G3" s="36">
        <f>63.49*2</f>
        <v>126.98</v>
      </c>
      <c r="H3" s="36">
        <f>63.49*2</f>
        <v>126.98</v>
      </c>
      <c r="I3" s="1">
        <v>7.16</v>
      </c>
      <c r="J3" s="1">
        <v>600</v>
      </c>
      <c r="K3" s="36">
        <f t="shared" ref="K3:K4" si="0">H3*I3+J3</f>
        <v>1509.1768000000002</v>
      </c>
      <c r="L3" s="1">
        <v>1000</v>
      </c>
      <c r="M3" s="1">
        <f t="shared" ref="M3:M4" si="1">K3/L3</f>
        <v>1.5091768000000001</v>
      </c>
      <c r="N3" s="1" t="s">
        <v>13</v>
      </c>
      <c r="O3" s="1" t="s">
        <v>14</v>
      </c>
    </row>
    <row r="4" spans="1:15" x14ac:dyDescent="0.25">
      <c r="A4" s="1">
        <v>3</v>
      </c>
      <c r="B4" s="1">
        <v>1280</v>
      </c>
      <c r="C4" s="2" t="s">
        <v>10</v>
      </c>
      <c r="D4" s="2" t="s">
        <v>16</v>
      </c>
      <c r="E4" s="1" t="s">
        <v>12</v>
      </c>
      <c r="F4" s="1">
        <v>120</v>
      </c>
      <c r="G4" s="36">
        <f>59.91*2</f>
        <v>119.82</v>
      </c>
      <c r="H4" s="1">
        <f>56.5*2</f>
        <v>113</v>
      </c>
      <c r="I4" s="1">
        <v>7.16</v>
      </c>
      <c r="J4" s="1">
        <v>600</v>
      </c>
      <c r="K4" s="36">
        <f t="shared" si="0"/>
        <v>1409.08</v>
      </c>
      <c r="L4" s="1">
        <v>1020</v>
      </c>
      <c r="M4" s="1">
        <f t="shared" si="1"/>
        <v>1.3814509803921569</v>
      </c>
      <c r="N4" s="1" t="s">
        <v>13</v>
      </c>
      <c r="O4" s="1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N9" sqref="N9"/>
    </sheetView>
  </sheetViews>
  <sheetFormatPr defaultRowHeight="15" x14ac:dyDescent="0.25"/>
  <cols>
    <col min="1" max="1" width="8.28515625" customWidth="1"/>
    <col min="2" max="2" width="9.42578125" bestFit="1" customWidth="1"/>
    <col min="3" max="3" width="21.5703125" customWidth="1"/>
    <col min="4" max="4" width="11.7109375" bestFit="1" customWidth="1"/>
    <col min="5" max="5" width="15" bestFit="1" customWidth="1"/>
    <col min="6" max="6" width="10.140625" customWidth="1"/>
    <col min="7" max="7" width="9.140625" customWidth="1"/>
    <col min="8" max="8" width="11.7109375" bestFit="1" customWidth="1"/>
    <col min="9" max="9" width="15" bestFit="1" customWidth="1"/>
    <col min="10" max="10" width="10.28515625" customWidth="1"/>
    <col min="11" max="12" width="9.28515625" customWidth="1"/>
    <col min="13" max="13" width="37" bestFit="1" customWidth="1"/>
  </cols>
  <sheetData>
    <row r="1" spans="1:14" x14ac:dyDescent="0.25">
      <c r="A1" s="41" t="s">
        <v>19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4" x14ac:dyDescent="0.25">
      <c r="A2" s="41" t="s">
        <v>20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4" x14ac:dyDescent="0.25">
      <c r="A3" s="41" t="s">
        <v>21</v>
      </c>
      <c r="B3" s="41"/>
      <c r="C3" s="41"/>
      <c r="D3" s="41"/>
      <c r="E3" s="44" t="s">
        <v>67</v>
      </c>
      <c r="F3" s="44"/>
      <c r="G3" s="44"/>
      <c r="H3" s="44"/>
      <c r="I3" s="44"/>
      <c r="J3" s="44" t="s">
        <v>22</v>
      </c>
      <c r="K3" s="44"/>
      <c r="L3" s="44"/>
      <c r="M3" s="44"/>
    </row>
    <row r="4" spans="1:14" x14ac:dyDescent="0.25">
      <c r="A4" s="41" t="s">
        <v>23</v>
      </c>
      <c r="B4" s="41" t="s">
        <v>24</v>
      </c>
      <c r="C4" s="41" t="s">
        <v>25</v>
      </c>
      <c r="D4" s="41" t="s">
        <v>26</v>
      </c>
      <c r="E4" s="41"/>
      <c r="F4" s="41"/>
      <c r="G4" s="41"/>
      <c r="H4" s="41" t="s">
        <v>27</v>
      </c>
      <c r="I4" s="41"/>
      <c r="J4" s="41"/>
      <c r="K4" s="41"/>
      <c r="L4" s="20"/>
      <c r="M4" s="19"/>
    </row>
    <row r="5" spans="1:14" x14ac:dyDescent="0.25">
      <c r="A5" s="41"/>
      <c r="B5" s="41"/>
      <c r="C5" s="41"/>
      <c r="D5" s="41" t="s">
        <v>28</v>
      </c>
      <c r="E5" s="41"/>
      <c r="F5" s="41" t="s">
        <v>29</v>
      </c>
      <c r="G5" s="41" t="s">
        <v>30</v>
      </c>
      <c r="H5" s="41" t="s">
        <v>28</v>
      </c>
      <c r="I5" s="41"/>
      <c r="J5" s="41" t="s">
        <v>29</v>
      </c>
      <c r="K5" s="41" t="s">
        <v>30</v>
      </c>
      <c r="L5" s="43" t="s">
        <v>49</v>
      </c>
      <c r="M5" s="41" t="s">
        <v>31</v>
      </c>
    </row>
    <row r="6" spans="1:14" x14ac:dyDescent="0.25">
      <c r="A6" s="41"/>
      <c r="B6" s="41"/>
      <c r="C6" s="41"/>
      <c r="D6" s="20" t="s">
        <v>32</v>
      </c>
      <c r="E6" s="20" t="s">
        <v>33</v>
      </c>
      <c r="F6" s="41"/>
      <c r="G6" s="41"/>
      <c r="H6" s="20" t="s">
        <v>32</v>
      </c>
      <c r="I6" s="20" t="s">
        <v>33</v>
      </c>
      <c r="J6" s="41"/>
      <c r="K6" s="41"/>
      <c r="L6" s="43"/>
      <c r="M6" s="41"/>
    </row>
    <row r="7" spans="1:14" x14ac:dyDescent="0.25">
      <c r="A7" s="15"/>
      <c r="B7" s="15"/>
      <c r="C7" s="14" t="s">
        <v>34</v>
      </c>
      <c r="D7" s="15"/>
      <c r="E7" s="15"/>
      <c r="F7" s="15"/>
      <c r="G7" s="15">
        <v>0</v>
      </c>
      <c r="H7" s="15"/>
      <c r="I7" s="15"/>
      <c r="J7" s="15"/>
      <c r="K7" s="15">
        <v>0</v>
      </c>
      <c r="L7" s="15"/>
      <c r="M7" s="16" t="s">
        <v>35</v>
      </c>
      <c r="N7" s="26" t="s">
        <v>70</v>
      </c>
    </row>
    <row r="8" spans="1:14" x14ac:dyDescent="0.25">
      <c r="A8" s="15">
        <v>1</v>
      </c>
      <c r="B8" s="15">
        <v>231768</v>
      </c>
      <c r="C8" s="13" t="s">
        <v>11</v>
      </c>
      <c r="D8" s="17">
        <v>0.3263888888888889</v>
      </c>
      <c r="E8" s="17">
        <v>0.3298611111111111</v>
      </c>
      <c r="F8" s="15">
        <v>2</v>
      </c>
      <c r="G8" s="15">
        <v>22</v>
      </c>
      <c r="H8" s="17">
        <v>0.82638888888888884</v>
      </c>
      <c r="I8" s="17">
        <v>0.82986111111111116</v>
      </c>
      <c r="J8" s="15">
        <v>2</v>
      </c>
      <c r="K8" s="15">
        <v>22</v>
      </c>
      <c r="L8" s="15">
        <v>19.2</v>
      </c>
      <c r="M8" s="16" t="s">
        <v>36</v>
      </c>
    </row>
    <row r="9" spans="1:14" x14ac:dyDescent="0.25">
      <c r="A9" s="15">
        <v>2</v>
      </c>
      <c r="B9" s="15">
        <v>231630</v>
      </c>
      <c r="C9" s="13" t="s">
        <v>37</v>
      </c>
      <c r="D9" s="17">
        <v>0.3611111111111111</v>
      </c>
      <c r="E9" s="17">
        <v>0.36458333333333331</v>
      </c>
      <c r="F9" s="15">
        <v>2</v>
      </c>
      <c r="G9" s="15">
        <v>12.5</v>
      </c>
      <c r="H9" s="17">
        <v>0.84375</v>
      </c>
      <c r="I9" s="17">
        <v>0.84722222222222221</v>
      </c>
      <c r="J9" s="15">
        <v>2</v>
      </c>
      <c r="K9" s="15">
        <v>12.5</v>
      </c>
      <c r="L9" s="15">
        <v>11.1</v>
      </c>
      <c r="M9" s="16" t="s">
        <v>38</v>
      </c>
    </row>
    <row r="10" spans="1:14" x14ac:dyDescent="0.25">
      <c r="A10" s="15">
        <v>3</v>
      </c>
      <c r="B10" s="15">
        <v>231626</v>
      </c>
      <c r="C10" s="13" t="s">
        <v>39</v>
      </c>
      <c r="D10" s="17">
        <v>0.375</v>
      </c>
      <c r="E10" s="17">
        <v>0.37847222222222227</v>
      </c>
      <c r="F10" s="15">
        <v>4</v>
      </c>
      <c r="G10" s="15">
        <v>2.5</v>
      </c>
      <c r="H10" s="17">
        <v>0.85416666666666663</v>
      </c>
      <c r="I10" s="17">
        <v>0.8569444444444444</v>
      </c>
      <c r="J10" s="15">
        <v>4</v>
      </c>
      <c r="K10" s="15">
        <v>2.5</v>
      </c>
      <c r="L10" s="15">
        <v>2.5</v>
      </c>
      <c r="M10" s="16" t="s">
        <v>40</v>
      </c>
    </row>
    <row r="11" spans="1:14" x14ac:dyDescent="0.25">
      <c r="A11" s="15"/>
      <c r="B11" s="15"/>
      <c r="C11" s="14" t="s">
        <v>34</v>
      </c>
      <c r="D11" s="18">
        <v>0.39583333333333331</v>
      </c>
      <c r="E11" s="15"/>
      <c r="F11" s="15"/>
      <c r="G11" s="15">
        <v>5.7</v>
      </c>
      <c r="H11" s="18">
        <v>0.90277777777777779</v>
      </c>
      <c r="I11" s="15"/>
      <c r="J11" s="15"/>
      <c r="K11" s="15">
        <v>5.7</v>
      </c>
      <c r="L11" s="15">
        <v>5.9</v>
      </c>
      <c r="M11" s="16" t="s">
        <v>35</v>
      </c>
    </row>
    <row r="12" spans="1:14" x14ac:dyDescent="0.25">
      <c r="A12" s="15"/>
      <c r="B12" s="15"/>
      <c r="C12" s="14" t="s">
        <v>41</v>
      </c>
      <c r="D12" s="15"/>
      <c r="E12" s="15"/>
      <c r="F12" s="14">
        <v>8</v>
      </c>
      <c r="G12" s="14">
        <f>SUM(G7:G11)</f>
        <v>42.7</v>
      </c>
      <c r="H12" s="15"/>
      <c r="I12" s="15"/>
      <c r="J12" s="14">
        <v>8</v>
      </c>
      <c r="K12" s="14">
        <f>SUM(K7:K11)</f>
        <v>42.7</v>
      </c>
      <c r="L12" s="25">
        <f>SUM(L7:L11)</f>
        <v>38.699999999999996</v>
      </c>
      <c r="M12" s="15"/>
    </row>
    <row r="13" spans="1:14" x14ac:dyDescent="0.25">
      <c r="A13" s="42" t="s">
        <v>42</v>
      </c>
      <c r="B13" s="42"/>
      <c r="C13" s="14" t="s">
        <v>43</v>
      </c>
      <c r="D13" s="42" t="s">
        <v>44</v>
      </c>
      <c r="E13" s="42"/>
      <c r="F13" s="42"/>
      <c r="G13" s="42"/>
      <c r="H13" s="42"/>
      <c r="I13" s="42"/>
      <c r="J13" s="42"/>
      <c r="K13" s="42"/>
      <c r="L13" s="42"/>
      <c r="M13" s="42"/>
    </row>
    <row r="14" spans="1:14" x14ac:dyDescent="0.25">
      <c r="A14" s="14" t="s">
        <v>45</v>
      </c>
      <c r="B14" s="14">
        <v>0</v>
      </c>
      <c r="C14" s="42" t="s">
        <v>13</v>
      </c>
      <c r="D14" s="42" t="s">
        <v>46</v>
      </c>
      <c r="E14" s="42"/>
      <c r="F14" s="42"/>
      <c r="G14" s="42"/>
      <c r="H14" s="42"/>
      <c r="I14" s="42"/>
      <c r="J14" s="42"/>
      <c r="K14" s="42"/>
      <c r="L14" s="42"/>
      <c r="M14" s="42"/>
    </row>
    <row r="15" spans="1:14" x14ac:dyDescent="0.25">
      <c r="A15" s="14" t="s">
        <v>47</v>
      </c>
      <c r="B15" s="14">
        <v>86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4" x14ac:dyDescent="0.25">
      <c r="A16" s="14" t="s">
        <v>48</v>
      </c>
      <c r="B16" s="14">
        <v>86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</sheetData>
  <mergeCells count="22">
    <mergeCell ref="H4:K4"/>
    <mergeCell ref="A1:M1"/>
    <mergeCell ref="A2:M2"/>
    <mergeCell ref="A3:D3"/>
    <mergeCell ref="E3:I3"/>
    <mergeCell ref="J3:M3"/>
    <mergeCell ref="M5:M6"/>
    <mergeCell ref="A13:B13"/>
    <mergeCell ref="D13:M13"/>
    <mergeCell ref="C14:C16"/>
    <mergeCell ref="D14:M16"/>
    <mergeCell ref="L5:L6"/>
    <mergeCell ref="D5:E5"/>
    <mergeCell ref="F5:F6"/>
    <mergeCell ref="G5:G6"/>
    <mergeCell ref="H5:I5"/>
    <mergeCell ref="J5:J6"/>
    <mergeCell ref="K5:K6"/>
    <mergeCell ref="A4:A6"/>
    <mergeCell ref="B4:B6"/>
    <mergeCell ref="C4:C6"/>
    <mergeCell ref="D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N7" sqref="N7"/>
    </sheetView>
  </sheetViews>
  <sheetFormatPr defaultRowHeight="15" x14ac:dyDescent="0.25"/>
  <cols>
    <col min="1" max="1" width="9.5703125" customWidth="1"/>
    <col min="2" max="2" width="9.42578125" bestFit="1" customWidth="1"/>
    <col min="3" max="3" width="17.140625" customWidth="1"/>
    <col min="4" max="4" width="6.85546875" bestFit="1" customWidth="1"/>
    <col min="5" max="5" width="8.85546875" bestFit="1" customWidth="1"/>
    <col min="6" max="6" width="10" customWidth="1"/>
    <col min="7" max="7" width="9.42578125" customWidth="1"/>
    <col min="8" max="8" width="6.85546875" bestFit="1" customWidth="1"/>
    <col min="9" max="9" width="8.85546875" bestFit="1" customWidth="1"/>
    <col min="10" max="10" width="10.5703125" customWidth="1"/>
    <col min="11" max="12" width="8.85546875" customWidth="1"/>
    <col min="13" max="13" width="37" bestFit="1" customWidth="1"/>
  </cols>
  <sheetData>
    <row r="1" spans="1:14" x14ac:dyDescent="0.25">
      <c r="A1" s="64" t="s">
        <v>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5"/>
    </row>
    <row r="2" spans="1:14" x14ac:dyDescent="0.25">
      <c r="A2" s="64" t="s">
        <v>20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5"/>
    </row>
    <row r="3" spans="1:14" x14ac:dyDescent="0.25">
      <c r="A3" s="64" t="s">
        <v>21</v>
      </c>
      <c r="B3" s="67"/>
      <c r="C3" s="67"/>
      <c r="D3" s="65"/>
      <c r="E3" s="68" t="s">
        <v>68</v>
      </c>
      <c r="F3" s="69"/>
      <c r="G3" s="69"/>
      <c r="H3" s="69"/>
      <c r="I3" s="70"/>
      <c r="J3" s="68" t="s">
        <v>22</v>
      </c>
      <c r="K3" s="69"/>
      <c r="L3" s="69"/>
      <c r="M3" s="70"/>
    </row>
    <row r="4" spans="1:14" x14ac:dyDescent="0.25">
      <c r="A4" s="45" t="s">
        <v>23</v>
      </c>
      <c r="B4" s="45" t="s">
        <v>24</v>
      </c>
      <c r="C4" s="45" t="s">
        <v>25</v>
      </c>
      <c r="D4" s="64" t="s">
        <v>26</v>
      </c>
      <c r="E4" s="67"/>
      <c r="F4" s="67"/>
      <c r="G4" s="65"/>
      <c r="H4" s="64" t="s">
        <v>27</v>
      </c>
      <c r="I4" s="67"/>
      <c r="J4" s="67"/>
      <c r="K4" s="65"/>
      <c r="L4" s="23"/>
      <c r="M4" s="22"/>
    </row>
    <row r="5" spans="1:14" x14ac:dyDescent="0.25">
      <c r="A5" s="66"/>
      <c r="B5" s="66"/>
      <c r="C5" s="66"/>
      <c r="D5" s="64" t="s">
        <v>28</v>
      </c>
      <c r="E5" s="65"/>
      <c r="F5" s="45" t="s">
        <v>29</v>
      </c>
      <c r="G5" s="45" t="s">
        <v>30</v>
      </c>
      <c r="H5" s="64" t="s">
        <v>28</v>
      </c>
      <c r="I5" s="65"/>
      <c r="J5" s="45" t="s">
        <v>29</v>
      </c>
      <c r="K5" s="45" t="s">
        <v>30</v>
      </c>
      <c r="L5" s="62" t="s">
        <v>49</v>
      </c>
      <c r="M5" s="45" t="s">
        <v>31</v>
      </c>
    </row>
    <row r="6" spans="1:14" ht="30" x14ac:dyDescent="0.25">
      <c r="A6" s="46"/>
      <c r="B6" s="46"/>
      <c r="C6" s="46"/>
      <c r="D6" s="23" t="s">
        <v>32</v>
      </c>
      <c r="E6" s="23" t="s">
        <v>33</v>
      </c>
      <c r="F6" s="46"/>
      <c r="G6" s="46"/>
      <c r="H6" s="23" t="s">
        <v>32</v>
      </c>
      <c r="I6" s="23" t="s">
        <v>33</v>
      </c>
      <c r="J6" s="46"/>
      <c r="K6" s="46"/>
      <c r="L6" s="63"/>
      <c r="M6" s="46"/>
    </row>
    <row r="7" spans="1:14" x14ac:dyDescent="0.25">
      <c r="A7" s="7"/>
      <c r="B7" s="8"/>
      <c r="C7" s="6" t="s">
        <v>34</v>
      </c>
      <c r="D7" s="8"/>
      <c r="E7" s="8"/>
      <c r="F7" s="8"/>
      <c r="G7" s="8">
        <v>0</v>
      </c>
      <c r="H7" s="8"/>
      <c r="I7" s="8"/>
      <c r="J7" s="8"/>
      <c r="K7" s="8">
        <v>0</v>
      </c>
      <c r="L7" s="8"/>
      <c r="M7" s="9" t="s">
        <v>35</v>
      </c>
      <c r="N7" s="26" t="s">
        <v>70</v>
      </c>
    </row>
    <row r="8" spans="1:14" x14ac:dyDescent="0.25">
      <c r="A8" s="7">
        <v>1</v>
      </c>
      <c r="B8" s="8">
        <v>231780</v>
      </c>
      <c r="C8" s="5" t="s">
        <v>15</v>
      </c>
      <c r="D8" s="10">
        <v>0.33333333333333331</v>
      </c>
      <c r="E8" s="10">
        <v>0.33680555555555558</v>
      </c>
      <c r="F8" s="8">
        <v>2</v>
      </c>
      <c r="G8" s="8">
        <v>21.3</v>
      </c>
      <c r="H8" s="10">
        <v>0.83333333333333337</v>
      </c>
      <c r="I8" s="10">
        <v>0.83680555555555547</v>
      </c>
      <c r="J8" s="8">
        <v>3</v>
      </c>
      <c r="K8" s="8">
        <v>21.3</v>
      </c>
      <c r="L8" s="8">
        <v>21.3</v>
      </c>
      <c r="M8" s="21" t="s">
        <v>50</v>
      </c>
    </row>
    <row r="9" spans="1:14" x14ac:dyDescent="0.25">
      <c r="A9" s="7">
        <v>2</v>
      </c>
      <c r="B9" s="8">
        <v>231771</v>
      </c>
      <c r="C9" s="5" t="s">
        <v>51</v>
      </c>
      <c r="D9" s="10">
        <v>0.3576388888888889</v>
      </c>
      <c r="E9" s="10">
        <v>0.3611111111111111</v>
      </c>
      <c r="F9" s="8">
        <v>2</v>
      </c>
      <c r="G9" s="8">
        <v>18.2</v>
      </c>
      <c r="H9" s="10">
        <v>0.85763888888888884</v>
      </c>
      <c r="I9" s="10">
        <v>0.86111111111111116</v>
      </c>
      <c r="J9" s="8">
        <v>2</v>
      </c>
      <c r="K9" s="8">
        <v>18.2</v>
      </c>
      <c r="L9" s="8">
        <v>18.2</v>
      </c>
      <c r="M9" s="21" t="s">
        <v>52</v>
      </c>
    </row>
    <row r="10" spans="1:14" x14ac:dyDescent="0.25">
      <c r="A10" s="7">
        <v>3</v>
      </c>
      <c r="B10" s="8">
        <v>231627</v>
      </c>
      <c r="C10" s="5" t="s">
        <v>53</v>
      </c>
      <c r="D10" s="10">
        <v>0.375</v>
      </c>
      <c r="E10" s="10">
        <v>0.37847222222222227</v>
      </c>
      <c r="F10" s="8">
        <v>5</v>
      </c>
      <c r="G10" s="8">
        <v>15.6</v>
      </c>
      <c r="H10" s="10">
        <v>0.875</v>
      </c>
      <c r="I10" s="10">
        <v>0.87847222222222221</v>
      </c>
      <c r="J10" s="8">
        <v>4</v>
      </c>
      <c r="K10" s="8">
        <v>15.6</v>
      </c>
      <c r="L10" s="8">
        <v>15.6</v>
      </c>
      <c r="M10" s="9" t="s">
        <v>54</v>
      </c>
    </row>
    <row r="11" spans="1:14" x14ac:dyDescent="0.25">
      <c r="A11" s="7">
        <v>4</v>
      </c>
      <c r="B11" s="8">
        <v>231629</v>
      </c>
      <c r="C11" s="5" t="s">
        <v>55</v>
      </c>
      <c r="D11" s="10">
        <v>0.38541666666666669</v>
      </c>
      <c r="E11" s="10">
        <v>0.3888888888888889</v>
      </c>
      <c r="F11" s="8">
        <v>2</v>
      </c>
      <c r="G11" s="8">
        <v>5.9</v>
      </c>
      <c r="H11" s="10">
        <v>0.88541666666666663</v>
      </c>
      <c r="I11" s="10">
        <v>0.88888888888888884</v>
      </c>
      <c r="J11" s="8">
        <v>2</v>
      </c>
      <c r="K11" s="8">
        <v>5.9</v>
      </c>
      <c r="L11" s="8">
        <v>5.9</v>
      </c>
      <c r="M11" s="9" t="s">
        <v>56</v>
      </c>
    </row>
    <row r="12" spans="1:14" x14ac:dyDescent="0.25">
      <c r="A12" s="7"/>
      <c r="B12" s="8"/>
      <c r="C12" s="6" t="s">
        <v>34</v>
      </c>
      <c r="D12" s="11">
        <v>0.40625</v>
      </c>
      <c r="E12" s="8"/>
      <c r="F12" s="8"/>
      <c r="G12" s="8">
        <v>2.8</v>
      </c>
      <c r="H12" s="11">
        <v>0.90972222222222221</v>
      </c>
      <c r="I12" s="8"/>
      <c r="J12" s="8"/>
      <c r="K12" s="8">
        <v>2.8</v>
      </c>
      <c r="L12" s="8">
        <v>2.8</v>
      </c>
      <c r="M12" s="9" t="s">
        <v>35</v>
      </c>
    </row>
    <row r="13" spans="1:14" x14ac:dyDescent="0.25">
      <c r="A13" s="7"/>
      <c r="B13" s="8"/>
      <c r="C13" s="6" t="s">
        <v>41</v>
      </c>
      <c r="D13" s="8"/>
      <c r="E13" s="8"/>
      <c r="F13" s="6">
        <v>11</v>
      </c>
      <c r="G13" s="6">
        <v>63.8</v>
      </c>
      <c r="H13" s="8"/>
      <c r="I13" s="8"/>
      <c r="J13" s="6">
        <v>11</v>
      </c>
      <c r="K13" s="6">
        <f>SUM(K7:K12)</f>
        <v>63.8</v>
      </c>
      <c r="L13" s="24">
        <f>SUM(L7:L12)</f>
        <v>63.8</v>
      </c>
      <c r="M13" s="8"/>
    </row>
    <row r="14" spans="1:14" x14ac:dyDescent="0.25">
      <c r="A14" s="47" t="s">
        <v>42</v>
      </c>
      <c r="B14" s="48"/>
      <c r="C14" s="6" t="s">
        <v>43</v>
      </c>
      <c r="D14" s="47" t="s">
        <v>44</v>
      </c>
      <c r="E14" s="49"/>
      <c r="F14" s="49"/>
      <c r="G14" s="49"/>
      <c r="H14" s="49"/>
      <c r="I14" s="49"/>
      <c r="J14" s="49"/>
      <c r="K14" s="49"/>
      <c r="L14" s="49"/>
      <c r="M14" s="48"/>
    </row>
    <row r="15" spans="1:14" x14ac:dyDescent="0.25">
      <c r="A15" s="12" t="s">
        <v>45</v>
      </c>
      <c r="B15" s="6">
        <v>0</v>
      </c>
      <c r="C15" s="50" t="s">
        <v>13</v>
      </c>
      <c r="D15" s="53" t="s">
        <v>46</v>
      </c>
      <c r="E15" s="54"/>
      <c r="F15" s="54"/>
      <c r="G15" s="54"/>
      <c r="H15" s="54"/>
      <c r="I15" s="54"/>
      <c r="J15" s="54"/>
      <c r="K15" s="54"/>
      <c r="L15" s="54"/>
      <c r="M15" s="55"/>
    </row>
    <row r="16" spans="1:14" x14ac:dyDescent="0.25">
      <c r="A16" s="12" t="s">
        <v>47</v>
      </c>
      <c r="B16" s="6">
        <v>127.6</v>
      </c>
      <c r="C16" s="51"/>
      <c r="D16" s="56"/>
      <c r="E16" s="57"/>
      <c r="F16" s="57"/>
      <c r="G16" s="57"/>
      <c r="H16" s="57"/>
      <c r="I16" s="57"/>
      <c r="J16" s="57"/>
      <c r="K16" s="57"/>
      <c r="L16" s="57"/>
      <c r="M16" s="58"/>
    </row>
    <row r="17" spans="1:13" x14ac:dyDescent="0.25">
      <c r="A17" s="12" t="s">
        <v>48</v>
      </c>
      <c r="B17" s="6">
        <v>127.6</v>
      </c>
      <c r="C17" s="52"/>
      <c r="D17" s="59"/>
      <c r="E17" s="60"/>
      <c r="F17" s="60"/>
      <c r="G17" s="60"/>
      <c r="H17" s="60"/>
      <c r="I17" s="60"/>
      <c r="J17" s="60"/>
      <c r="K17" s="60"/>
      <c r="L17" s="60"/>
      <c r="M17" s="61"/>
    </row>
    <row r="21" spans="1:13" x14ac:dyDescent="0.25">
      <c r="A21">
        <v>1000</v>
      </c>
      <c r="B21" s="8">
        <v>231780</v>
      </c>
      <c r="C21" t="s">
        <v>64</v>
      </c>
      <c r="D21" s="7">
        <v>1</v>
      </c>
      <c r="E21" s="39" t="s">
        <v>65</v>
      </c>
      <c r="F21" s="8">
        <v>21.3</v>
      </c>
    </row>
    <row r="22" spans="1:13" x14ac:dyDescent="0.25">
      <c r="A22">
        <v>1000</v>
      </c>
      <c r="B22" s="8">
        <v>231771</v>
      </c>
      <c r="C22" t="s">
        <v>64</v>
      </c>
      <c r="D22" s="7">
        <v>2</v>
      </c>
      <c r="E22" s="39" t="s">
        <v>65</v>
      </c>
      <c r="F22" s="8">
        <v>18.2</v>
      </c>
    </row>
    <row r="23" spans="1:13" x14ac:dyDescent="0.25">
      <c r="A23">
        <v>1000</v>
      </c>
      <c r="B23" s="8">
        <v>231627</v>
      </c>
      <c r="C23" t="s">
        <v>64</v>
      </c>
      <c r="D23" s="7">
        <v>3</v>
      </c>
      <c r="E23" s="39" t="s">
        <v>65</v>
      </c>
      <c r="F23" s="8">
        <v>15.6</v>
      </c>
    </row>
    <row r="24" spans="1:13" x14ac:dyDescent="0.25">
      <c r="A24">
        <v>1000</v>
      </c>
      <c r="B24" s="8">
        <v>231629</v>
      </c>
      <c r="C24" t="s">
        <v>64</v>
      </c>
      <c r="D24" s="7">
        <v>4</v>
      </c>
      <c r="E24" s="39" t="s">
        <v>65</v>
      </c>
      <c r="F24" s="40">
        <v>8.6999999999999993</v>
      </c>
    </row>
  </sheetData>
  <mergeCells count="22">
    <mergeCell ref="H4:K4"/>
    <mergeCell ref="A1:M1"/>
    <mergeCell ref="A2:M2"/>
    <mergeCell ref="A3:D3"/>
    <mergeCell ref="E3:I3"/>
    <mergeCell ref="J3:M3"/>
    <mergeCell ref="M5:M6"/>
    <mergeCell ref="A14:B14"/>
    <mergeCell ref="D14:M14"/>
    <mergeCell ref="C15:C17"/>
    <mergeCell ref="D15:M17"/>
    <mergeCell ref="L5:L6"/>
    <mergeCell ref="D5:E5"/>
    <mergeCell ref="F5:F6"/>
    <mergeCell ref="G5:G6"/>
    <mergeCell ref="H5:I5"/>
    <mergeCell ref="J5:J6"/>
    <mergeCell ref="K5:K6"/>
    <mergeCell ref="A4:A6"/>
    <mergeCell ref="B4:B6"/>
    <mergeCell ref="C4:C6"/>
    <mergeCell ref="D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N7" sqref="N7"/>
    </sheetView>
  </sheetViews>
  <sheetFormatPr defaultRowHeight="15" x14ac:dyDescent="0.25"/>
  <cols>
    <col min="1" max="1" width="10" style="26" customWidth="1"/>
    <col min="2" max="2" width="9.42578125" style="26" bestFit="1" customWidth="1"/>
    <col min="3" max="3" width="13.5703125" style="26" customWidth="1"/>
    <col min="4" max="4" width="11.7109375" style="26" bestFit="1" customWidth="1"/>
    <col min="5" max="5" width="15" style="26" bestFit="1" customWidth="1"/>
    <col min="6" max="6" width="10" style="26" customWidth="1"/>
    <col min="7" max="7" width="8.7109375" style="26" customWidth="1"/>
    <col min="8" max="8" width="11.7109375" style="26" bestFit="1" customWidth="1"/>
    <col min="9" max="9" width="15" style="26" bestFit="1" customWidth="1"/>
    <col min="10" max="10" width="10.140625" style="26" customWidth="1"/>
    <col min="11" max="12" width="9.140625" style="26" customWidth="1"/>
    <col min="13" max="13" width="37" style="26" bestFit="1" customWidth="1"/>
    <col min="14" max="16384" width="9.140625" style="26"/>
  </cols>
  <sheetData>
    <row r="1" spans="1:14" x14ac:dyDescent="0.25">
      <c r="A1" s="72" t="s">
        <v>19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4" x14ac:dyDescent="0.25">
      <c r="A2" s="72" t="s">
        <v>20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4" x14ac:dyDescent="0.25">
      <c r="A3" s="72" t="s">
        <v>21</v>
      </c>
      <c r="B3" s="72"/>
      <c r="C3" s="72"/>
      <c r="D3" s="72"/>
      <c r="E3" s="73" t="s">
        <v>69</v>
      </c>
      <c r="F3" s="73"/>
      <c r="G3" s="73"/>
      <c r="H3" s="73"/>
      <c r="I3" s="73"/>
      <c r="J3" s="73" t="s">
        <v>22</v>
      </c>
      <c r="K3" s="73"/>
      <c r="L3" s="73"/>
      <c r="M3" s="73"/>
    </row>
    <row r="4" spans="1:14" x14ac:dyDescent="0.25">
      <c r="A4" s="72" t="s">
        <v>23</v>
      </c>
      <c r="B4" s="72" t="s">
        <v>24</v>
      </c>
      <c r="C4" s="72" t="s">
        <v>25</v>
      </c>
      <c r="D4" s="72" t="s">
        <v>26</v>
      </c>
      <c r="E4" s="72"/>
      <c r="F4" s="72"/>
      <c r="G4" s="72"/>
      <c r="H4" s="72" t="s">
        <v>27</v>
      </c>
      <c r="I4" s="72"/>
      <c r="J4" s="72"/>
      <c r="K4" s="72"/>
      <c r="L4" s="35"/>
      <c r="M4" s="34"/>
    </row>
    <row r="5" spans="1:14" x14ac:dyDescent="0.25">
      <c r="A5" s="72"/>
      <c r="B5" s="72"/>
      <c r="C5" s="72"/>
      <c r="D5" s="72" t="s">
        <v>28</v>
      </c>
      <c r="E5" s="72"/>
      <c r="F5" s="72" t="s">
        <v>29</v>
      </c>
      <c r="G5" s="72" t="s">
        <v>30</v>
      </c>
      <c r="H5" s="72" t="s">
        <v>28</v>
      </c>
      <c r="I5" s="72"/>
      <c r="J5" s="72" t="s">
        <v>29</v>
      </c>
      <c r="K5" s="72" t="s">
        <v>30</v>
      </c>
      <c r="L5" s="62" t="s">
        <v>49</v>
      </c>
      <c r="M5" s="72" t="s">
        <v>31</v>
      </c>
    </row>
    <row r="6" spans="1:14" x14ac:dyDescent="0.25">
      <c r="A6" s="72"/>
      <c r="B6" s="72"/>
      <c r="C6" s="72"/>
      <c r="D6" s="35" t="s">
        <v>32</v>
      </c>
      <c r="E6" s="35" t="s">
        <v>33</v>
      </c>
      <c r="F6" s="72"/>
      <c r="G6" s="72"/>
      <c r="H6" s="35" t="s">
        <v>32</v>
      </c>
      <c r="I6" s="35" t="s">
        <v>33</v>
      </c>
      <c r="J6" s="72"/>
      <c r="K6" s="72"/>
      <c r="L6" s="63"/>
      <c r="M6" s="72"/>
    </row>
    <row r="7" spans="1:14" x14ac:dyDescent="0.25">
      <c r="A7" s="29"/>
      <c r="B7" s="29"/>
      <c r="C7" s="28" t="s">
        <v>34</v>
      </c>
      <c r="D7" s="29"/>
      <c r="E7" s="29"/>
      <c r="F7" s="29"/>
      <c r="G7" s="29">
        <v>0</v>
      </c>
      <c r="H7" s="29"/>
      <c r="I7" s="29"/>
      <c r="J7" s="29"/>
      <c r="K7" s="29">
        <v>0</v>
      </c>
      <c r="L7" s="29"/>
      <c r="M7" s="30" t="s">
        <v>35</v>
      </c>
      <c r="N7" s="26" t="s">
        <v>70</v>
      </c>
    </row>
    <row r="8" spans="1:14" x14ac:dyDescent="0.25">
      <c r="A8" s="29">
        <v>1</v>
      </c>
      <c r="B8" s="29">
        <v>231781</v>
      </c>
      <c r="C8" s="27" t="s">
        <v>57</v>
      </c>
      <c r="D8" s="31">
        <v>0.3298611111111111</v>
      </c>
      <c r="E8" s="31">
        <v>0.33333333333333331</v>
      </c>
      <c r="F8" s="29">
        <v>2</v>
      </c>
      <c r="G8" s="29">
        <v>19.8</v>
      </c>
      <c r="H8" s="31">
        <v>0.83333333333333337</v>
      </c>
      <c r="I8" s="31">
        <v>0.83680555555555547</v>
      </c>
      <c r="J8" s="29">
        <v>3</v>
      </c>
      <c r="K8" s="29">
        <v>19.8</v>
      </c>
      <c r="L8" s="29">
        <v>16.399999999999999</v>
      </c>
      <c r="M8" s="32" t="s">
        <v>58</v>
      </c>
    </row>
    <row r="9" spans="1:14" x14ac:dyDescent="0.25">
      <c r="A9" s="29">
        <v>2</v>
      </c>
      <c r="B9" s="29">
        <v>231766</v>
      </c>
      <c r="C9" s="27" t="s">
        <v>16</v>
      </c>
      <c r="D9" s="31">
        <v>0.35069444444444442</v>
      </c>
      <c r="E9" s="31">
        <v>0.35416666666666669</v>
      </c>
      <c r="F9" s="29">
        <v>2</v>
      </c>
      <c r="G9" s="29">
        <v>21.6</v>
      </c>
      <c r="H9" s="31">
        <v>0.85763888888888884</v>
      </c>
      <c r="I9" s="31">
        <v>0.86111111111111116</v>
      </c>
      <c r="J9" s="29">
        <v>2</v>
      </c>
      <c r="K9" s="29">
        <v>21.6</v>
      </c>
      <c r="L9" s="29">
        <v>21.6</v>
      </c>
      <c r="M9" s="32" t="s">
        <v>59</v>
      </c>
    </row>
    <row r="10" spans="1:14" x14ac:dyDescent="0.25">
      <c r="A10" s="29">
        <v>3</v>
      </c>
      <c r="B10" s="29">
        <v>231765</v>
      </c>
      <c r="C10" s="27" t="s">
        <v>60</v>
      </c>
      <c r="D10" s="31">
        <v>0.375</v>
      </c>
      <c r="E10" s="31">
        <v>0.37847222222222227</v>
      </c>
      <c r="F10" s="29">
        <v>5</v>
      </c>
      <c r="G10" s="29">
        <v>15.8</v>
      </c>
      <c r="H10" s="31">
        <v>0.875</v>
      </c>
      <c r="I10" s="31">
        <v>0.87847222222222221</v>
      </c>
      <c r="J10" s="29">
        <v>4</v>
      </c>
      <c r="K10" s="29">
        <v>15.8</v>
      </c>
      <c r="L10" s="29">
        <v>15.8</v>
      </c>
      <c r="M10" s="30" t="s">
        <v>61</v>
      </c>
    </row>
    <row r="11" spans="1:14" x14ac:dyDescent="0.25">
      <c r="A11" s="29"/>
      <c r="B11" s="29"/>
      <c r="C11" s="28" t="s">
        <v>34</v>
      </c>
      <c r="D11" s="33">
        <v>0.39930555555555558</v>
      </c>
      <c r="E11" s="29"/>
      <c r="F11" s="29"/>
      <c r="G11" s="29">
        <v>2.8</v>
      </c>
      <c r="H11" s="33">
        <v>0.90625</v>
      </c>
      <c r="I11" s="29"/>
      <c r="J11" s="29"/>
      <c r="K11" s="29">
        <v>2.8</v>
      </c>
      <c r="L11" s="29">
        <v>2.8</v>
      </c>
      <c r="M11" s="30" t="s">
        <v>35</v>
      </c>
    </row>
    <row r="12" spans="1:14" x14ac:dyDescent="0.25">
      <c r="A12" s="29"/>
      <c r="B12" s="29"/>
      <c r="C12" s="28" t="s">
        <v>41</v>
      </c>
      <c r="D12" s="29"/>
      <c r="E12" s="29"/>
      <c r="F12" s="28">
        <v>9</v>
      </c>
      <c r="G12" s="28">
        <v>60</v>
      </c>
      <c r="H12" s="29"/>
      <c r="I12" s="29"/>
      <c r="J12" s="28">
        <v>9</v>
      </c>
      <c r="K12" s="28">
        <f>SUM(K7:K11)</f>
        <v>60</v>
      </c>
      <c r="L12" s="37">
        <f>SUM(L7:L11)</f>
        <v>56.599999999999994</v>
      </c>
      <c r="M12" s="29"/>
    </row>
    <row r="13" spans="1:14" x14ac:dyDescent="0.25">
      <c r="A13" s="71" t="s">
        <v>42</v>
      </c>
      <c r="B13" s="71"/>
      <c r="C13" s="28" t="s">
        <v>43</v>
      </c>
      <c r="D13" s="71" t="s">
        <v>44</v>
      </c>
      <c r="E13" s="71"/>
      <c r="F13" s="71"/>
      <c r="G13" s="71"/>
      <c r="H13" s="71"/>
      <c r="I13" s="71"/>
      <c r="J13" s="71"/>
      <c r="K13" s="71"/>
      <c r="L13" s="71"/>
      <c r="M13" s="71"/>
    </row>
    <row r="14" spans="1:14" x14ac:dyDescent="0.25">
      <c r="A14" s="28" t="s">
        <v>45</v>
      </c>
      <c r="B14" s="28">
        <v>0</v>
      </c>
      <c r="C14" s="71" t="s">
        <v>13</v>
      </c>
      <c r="D14" s="71" t="s">
        <v>46</v>
      </c>
      <c r="E14" s="71"/>
      <c r="F14" s="71"/>
      <c r="G14" s="71"/>
      <c r="H14" s="71"/>
      <c r="I14" s="71"/>
      <c r="J14" s="71"/>
      <c r="K14" s="71"/>
      <c r="L14" s="71"/>
      <c r="M14" s="71"/>
    </row>
    <row r="15" spans="1:14" x14ac:dyDescent="0.25">
      <c r="A15" s="28" t="s">
        <v>47</v>
      </c>
      <c r="B15" s="28">
        <v>120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</row>
    <row r="16" spans="1:14" x14ac:dyDescent="0.25">
      <c r="A16" s="28" t="s">
        <v>48</v>
      </c>
      <c r="B16" s="28">
        <v>120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</row>
    <row r="19" spans="1:6" x14ac:dyDescent="0.25">
      <c r="A19" s="26">
        <v>1000</v>
      </c>
      <c r="B19" s="29">
        <v>231781</v>
      </c>
      <c r="C19" t="s">
        <v>64</v>
      </c>
      <c r="D19" s="29">
        <v>1</v>
      </c>
      <c r="E19" s="39" t="s">
        <v>66</v>
      </c>
      <c r="F19" s="29">
        <v>16.399999999999999</v>
      </c>
    </row>
    <row r="20" spans="1:6" x14ac:dyDescent="0.25">
      <c r="A20" s="26">
        <v>1000</v>
      </c>
      <c r="B20" s="29">
        <v>231766</v>
      </c>
      <c r="C20" t="s">
        <v>64</v>
      </c>
      <c r="D20" s="29">
        <v>2</v>
      </c>
      <c r="E20" s="39" t="s">
        <v>66</v>
      </c>
      <c r="F20" s="29">
        <v>21.6</v>
      </c>
    </row>
    <row r="21" spans="1:6" x14ac:dyDescent="0.25">
      <c r="A21" s="26">
        <v>1000</v>
      </c>
      <c r="B21" s="29">
        <v>231765</v>
      </c>
      <c r="C21" t="s">
        <v>64</v>
      </c>
      <c r="D21" s="29">
        <v>3</v>
      </c>
      <c r="E21" s="39" t="s">
        <v>66</v>
      </c>
      <c r="F21" s="26">
        <v>18.600000000000001</v>
      </c>
    </row>
  </sheetData>
  <mergeCells count="22">
    <mergeCell ref="L5:L6"/>
    <mergeCell ref="A1:M1"/>
    <mergeCell ref="A2:M2"/>
    <mergeCell ref="A3:D3"/>
    <mergeCell ref="E3:I3"/>
    <mergeCell ref="J3:M3"/>
    <mergeCell ref="A13:B13"/>
    <mergeCell ref="D13:M13"/>
    <mergeCell ref="C14:C16"/>
    <mergeCell ref="D14:M16"/>
    <mergeCell ref="F5:F6"/>
    <mergeCell ref="G5:G6"/>
    <mergeCell ref="H5:I5"/>
    <mergeCell ref="J5:J6"/>
    <mergeCell ref="K5:K6"/>
    <mergeCell ref="M5:M6"/>
    <mergeCell ref="A4:A6"/>
    <mergeCell ref="B4:B6"/>
    <mergeCell ref="C4:C6"/>
    <mergeCell ref="D4:G4"/>
    <mergeCell ref="H4:K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Gopalwadi</vt:lpstr>
      <vt:lpstr>Gour</vt:lpstr>
      <vt:lpstr>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- (Associate/Logistics/HO)</dc:creator>
  <cp:lastModifiedBy>Venkatesh - (Associate/Logistics/HO)</cp:lastModifiedBy>
  <dcterms:created xsi:type="dcterms:W3CDTF">2026-01-27T03:12:47Z</dcterms:created>
  <dcterms:modified xsi:type="dcterms:W3CDTF">2026-02-04T11:30:49Z</dcterms:modified>
</cp:coreProperties>
</file>