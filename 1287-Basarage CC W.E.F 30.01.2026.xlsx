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BASARAGE" sheetId="3" r:id="rId2"/>
    <sheet name="KALAMMAWADI" sheetId="2" r:id="rId3"/>
  </sheets>
  <calcPr calcId="145621"/>
</workbook>
</file>

<file path=xl/calcChain.xml><?xml version="1.0" encoding="utf-8"?>
<calcChain xmlns="http://schemas.openxmlformats.org/spreadsheetml/2006/main">
  <c r="M2" i="1" l="1"/>
  <c r="H3" i="1"/>
  <c r="L13" i="2"/>
  <c r="H2" i="1"/>
  <c r="L11" i="3"/>
  <c r="G3" i="1"/>
  <c r="G2" i="1"/>
  <c r="K3" i="1"/>
  <c r="M3" i="1" s="1"/>
  <c r="K2" i="1"/>
</calcChain>
</file>

<file path=xl/sharedStrings.xml><?xml version="1.0" encoding="utf-8"?>
<sst xmlns="http://schemas.openxmlformats.org/spreadsheetml/2006/main" count="125" uniqueCount="71">
  <si>
    <t>S.No</t>
  </si>
  <si>
    <t>CC Code</t>
  </si>
  <si>
    <t>CC Name</t>
  </si>
  <si>
    <t>Route Name</t>
  </si>
  <si>
    <t>Model</t>
  </si>
  <si>
    <t>Km/Day</t>
  </si>
  <si>
    <t>Upper Route KM</t>
  </si>
  <si>
    <t>Google KM</t>
  </si>
  <si>
    <t>Rate</t>
  </si>
  <si>
    <t>Fixed</t>
  </si>
  <si>
    <t>Amount</t>
  </si>
  <si>
    <t>Milk</t>
  </si>
  <si>
    <t>Cost</t>
  </si>
  <si>
    <t>W.E.F</t>
  </si>
  <si>
    <t>Remarks</t>
  </si>
  <si>
    <t>Basarge </t>
  </si>
  <si>
    <t>Basarge</t>
  </si>
  <si>
    <t>TATA ACE</t>
  </si>
  <si>
    <t>28.01.26</t>
  </si>
  <si>
    <t>New Route Opening</t>
  </si>
  <si>
    <t>Kalammawadi</t>
  </si>
  <si>
    <t>HATSUN AGRO PRODUCT LIMITED.,</t>
  </si>
  <si>
    <t>Milk Route Vehicle Running K.M.</t>
  </si>
  <si>
    <t>Points Sequence</t>
  </si>
  <si>
    <t>SAP Code</t>
  </si>
  <si>
    <t>Name of the HMB / B.V. / Farm</t>
  </si>
  <si>
    <t>Morning</t>
  </si>
  <si>
    <t>Evenning</t>
  </si>
  <si>
    <t>Milk Truck Time</t>
  </si>
  <si>
    <t>No. Of Milk Cans</t>
  </si>
  <si>
    <t>Distance in K.M.</t>
  </si>
  <si>
    <t>Arrival Time</t>
  </si>
  <si>
    <t>Departure Time</t>
  </si>
  <si>
    <t>LAKIKATTE </t>
  </si>
  <si>
    <t>15.970765,74.331117</t>
  </si>
  <si>
    <t>KALAMWADI</t>
  </si>
  <si>
    <t>15.9911660, 74.3221220</t>
  </si>
  <si>
    <t>YEMEHATTI</t>
  </si>
  <si>
    <t>15.985401, 74.301081</t>
  </si>
  <si>
    <t>SONARWADI</t>
  </si>
  <si>
    <t>15.980275,74.292541</t>
  </si>
  <si>
    <t>LAKUDWADI</t>
  </si>
  <si>
    <t>15.951678,74.309993</t>
  </si>
  <si>
    <t>BASARGE CC</t>
  </si>
  <si>
    <t>15.914753,74.320887</t>
  </si>
  <si>
    <t>Total</t>
  </si>
  <si>
    <t>Running K.M./ Day</t>
  </si>
  <si>
    <t>W.E.F Date</t>
  </si>
  <si>
    <t>Reason for Changing</t>
  </si>
  <si>
    <t>Old</t>
  </si>
  <si>
    <t>30.01.2026</t>
  </si>
  <si>
    <t>Basarge New cc</t>
  </si>
  <si>
    <t>New</t>
  </si>
  <si>
    <t>Diff.</t>
  </si>
  <si>
    <t>C.C. Name : BASARAGE(1287)</t>
  </si>
  <si>
    <t>Model:TATA ACE</t>
  </si>
  <si>
    <t>HMB / B.V. / Farm Lat &amp; Long </t>
  </si>
  <si>
    <t>HMB / B.V. / Farm  Lat &amp; Long </t>
  </si>
  <si>
    <t>NITTUR</t>
  </si>
  <si>
    <t>15.991412,74.367521</t>
  </si>
  <si>
    <t>KADALAGE KH</t>
  </si>
  <si>
    <t>15.939384, 74.349954</t>
  </si>
  <si>
    <t>KAREKUNDI</t>
  </si>
  <si>
    <t>15.937160,74.368257</t>
  </si>
  <si>
    <t>C.C. Name : BASARAGE(1287)        </t>
  </si>
  <si>
    <t>M13834</t>
  </si>
  <si>
    <t>M13835</t>
  </si>
  <si>
    <t>26.01.2026</t>
  </si>
  <si>
    <t> Route Name :  BASARAGE (M13834)</t>
  </si>
  <si>
    <t> Route Name :  KALAMMAWADI (M13835)</t>
  </si>
  <si>
    <t>CC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</si>
</sst>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20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2" sqref="D2:D3"/>
    </sheetView>
  </sheetViews>
  <sheetFormatPr defaultRowHeight="15" x14ac:dyDescent="0.25"/>
  <cols>
    <col min="1" max="1" width="5.140625" bestFit="1" customWidth="1"/>
    <col min="2" max="2" width="8.28515625" bestFit="1" customWidth="1"/>
    <col min="3" max="3" width="9" bestFit="1" customWidth="1"/>
    <col min="4" max="4" width="13.5703125" bestFit="1" customWidth="1"/>
    <col min="5" max="5" width="9.42578125" bestFit="1" customWidth="1"/>
    <col min="6" max="6" width="8" bestFit="1" customWidth="1"/>
    <col min="7" max="7" width="9.7109375" customWidth="1"/>
    <col min="8" max="8" width="7.42578125" bestFit="1" customWidth="1"/>
    <col min="9" max="9" width="5" bestFit="1" customWidth="1"/>
    <col min="10" max="10" width="5.85546875" bestFit="1" customWidth="1"/>
    <col min="11" max="11" width="8.140625" bestFit="1" customWidth="1"/>
    <col min="12" max="12" width="5" bestFit="1" customWidth="1"/>
    <col min="13" max="13" width="4.85546875" bestFit="1" customWidth="1"/>
    <col min="14" max="14" width="8.140625" bestFit="1" customWidth="1"/>
    <col min="15" max="15" width="19.140625" bestFit="1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1</v>
      </c>
      <c r="B2" s="4">
        <v>1287</v>
      </c>
      <c r="C2" s="4" t="s">
        <v>15</v>
      </c>
      <c r="D2" s="5" t="s">
        <v>16</v>
      </c>
      <c r="E2" s="4" t="s">
        <v>17</v>
      </c>
      <c r="F2" s="3">
        <v>64</v>
      </c>
      <c r="G2" s="6">
        <f>32.08*2</f>
        <v>64.16</v>
      </c>
      <c r="H2" s="3">
        <f>32*2</f>
        <v>64</v>
      </c>
      <c r="I2" s="3">
        <v>6.48</v>
      </c>
      <c r="J2" s="3">
        <v>500</v>
      </c>
      <c r="K2" s="6">
        <f>H2*I2+J2</f>
        <v>914.72</v>
      </c>
      <c r="L2" s="4">
        <v>750</v>
      </c>
      <c r="M2" s="7">
        <f>K2/L2</f>
        <v>1.2196266666666666</v>
      </c>
      <c r="N2" s="3" t="s">
        <v>18</v>
      </c>
      <c r="O2" s="3" t="s">
        <v>19</v>
      </c>
    </row>
    <row r="3" spans="1:15" x14ac:dyDescent="0.25">
      <c r="A3" s="3">
        <v>2</v>
      </c>
      <c r="B3" s="4">
        <v>1287</v>
      </c>
      <c r="C3" s="4" t="s">
        <v>15</v>
      </c>
      <c r="D3" s="5" t="s">
        <v>20</v>
      </c>
      <c r="E3" s="4" t="s">
        <v>17</v>
      </c>
      <c r="F3" s="3">
        <v>58</v>
      </c>
      <c r="G3" s="6">
        <f>29.4*2</f>
        <v>58.8</v>
      </c>
      <c r="H3" s="6">
        <f>29*2</f>
        <v>58</v>
      </c>
      <c r="I3" s="3">
        <v>6.48</v>
      </c>
      <c r="J3" s="3">
        <v>500</v>
      </c>
      <c r="K3" s="6">
        <f t="shared" ref="K3" si="0">H3*I3+J3</f>
        <v>875.84</v>
      </c>
      <c r="L3" s="4">
        <v>450</v>
      </c>
      <c r="M3" s="7">
        <f t="shared" ref="M3" si="1">K3/L3</f>
        <v>1.9463111111111111</v>
      </c>
      <c r="N3" s="3" t="s">
        <v>18</v>
      </c>
      <c r="O3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topLeftCell="A2" workbookViewId="0">
      <selection activeCell="N10" sqref="N10"/>
    </sheetView>
  </sheetViews>
  <sheetFormatPr defaultRowHeight="15" x14ac:dyDescent="0.25"/>
  <cols>
    <col min="1" max="1" width="11" style="17" customWidth="1"/>
    <col min="2" max="2" width="9.42578125" style="17" bestFit="1" customWidth="1"/>
    <col min="3" max="3" width="16.5703125" style="17" customWidth="1"/>
    <col min="4" max="4" width="11.7109375" style="17" bestFit="1" customWidth="1"/>
    <col min="5" max="5" width="15" style="17" bestFit="1" customWidth="1"/>
    <col min="6" max="6" width="9.5703125" style="17" customWidth="1"/>
    <col min="7" max="7" width="9.7109375" style="17" customWidth="1"/>
    <col min="8" max="8" width="11.7109375" style="17" bestFit="1" customWidth="1"/>
    <col min="9" max="9" width="15" style="17" bestFit="1" customWidth="1"/>
    <col min="10" max="10" width="9.7109375" style="17" customWidth="1"/>
    <col min="11" max="12" width="9" style="17" customWidth="1"/>
    <col min="13" max="13" width="20.140625" style="17" customWidth="1"/>
    <col min="14" max="16384" width="9.140625" style="17"/>
  </cols>
  <sheetData>
    <row r="1" spans="1:14" ht="26.25" customHeight="1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18.75" customHeight="1" x14ac:dyDescent="0.25">
      <c r="A2" s="22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4" s="48" customFormat="1" ht="45" customHeight="1" x14ac:dyDescent="0.25">
      <c r="A3" s="23" t="s">
        <v>64</v>
      </c>
      <c r="B3" s="24"/>
      <c r="C3" s="24"/>
      <c r="D3" s="25"/>
      <c r="E3" s="23" t="s">
        <v>68</v>
      </c>
      <c r="F3" s="24"/>
      <c r="G3" s="24"/>
      <c r="H3" s="25"/>
      <c r="I3" s="23" t="s">
        <v>55</v>
      </c>
      <c r="J3" s="24"/>
      <c r="K3" s="24"/>
      <c r="L3" s="24"/>
      <c r="M3" s="25"/>
    </row>
    <row r="4" spans="1:14" ht="15" customHeight="1" x14ac:dyDescent="0.25">
      <c r="A4" s="26" t="s">
        <v>23</v>
      </c>
      <c r="B4" s="26" t="s">
        <v>24</v>
      </c>
      <c r="C4" s="26" t="s">
        <v>25</v>
      </c>
      <c r="D4" s="26" t="s">
        <v>26</v>
      </c>
      <c r="E4" s="26"/>
      <c r="F4" s="26"/>
      <c r="G4" s="26"/>
      <c r="H4" s="26" t="s">
        <v>27</v>
      </c>
      <c r="I4" s="26"/>
      <c r="J4" s="26"/>
      <c r="K4" s="26"/>
      <c r="L4" s="11"/>
      <c r="M4" s="10"/>
    </row>
    <row r="5" spans="1:14" x14ac:dyDescent="0.25">
      <c r="A5" s="26"/>
      <c r="B5" s="26"/>
      <c r="C5" s="26"/>
      <c r="D5" s="26" t="s">
        <v>28</v>
      </c>
      <c r="E5" s="26"/>
      <c r="F5" s="26" t="s">
        <v>29</v>
      </c>
      <c r="G5" s="26" t="s">
        <v>30</v>
      </c>
      <c r="H5" s="26" t="s">
        <v>28</v>
      </c>
      <c r="I5" s="26"/>
      <c r="J5" s="26" t="s">
        <v>29</v>
      </c>
      <c r="K5" s="26" t="s">
        <v>30</v>
      </c>
      <c r="L5" s="42" t="s">
        <v>7</v>
      </c>
      <c r="M5" s="26" t="s">
        <v>57</v>
      </c>
    </row>
    <row r="6" spans="1:14" x14ac:dyDescent="0.25">
      <c r="A6" s="26"/>
      <c r="B6" s="26"/>
      <c r="C6" s="26"/>
      <c r="D6" s="11" t="s">
        <v>31</v>
      </c>
      <c r="E6" s="11" t="s">
        <v>32</v>
      </c>
      <c r="F6" s="26"/>
      <c r="G6" s="26"/>
      <c r="H6" s="11" t="s">
        <v>31</v>
      </c>
      <c r="I6" s="11" t="s">
        <v>32</v>
      </c>
      <c r="J6" s="26"/>
      <c r="K6" s="26"/>
      <c r="L6" s="42"/>
      <c r="M6" s="26"/>
    </row>
    <row r="7" spans="1:14" x14ac:dyDescent="0.25">
      <c r="A7" s="13">
        <v>1</v>
      </c>
      <c r="B7" s="13">
        <v>231654</v>
      </c>
      <c r="C7" s="15" t="s">
        <v>58</v>
      </c>
      <c r="D7" s="16">
        <v>0.3125</v>
      </c>
      <c r="E7" s="16">
        <v>0.31944444444444448</v>
      </c>
      <c r="F7" s="13">
        <v>3</v>
      </c>
      <c r="G7" s="13">
        <v>12.3</v>
      </c>
      <c r="H7" s="16">
        <v>0.79861111111111116</v>
      </c>
      <c r="I7" s="16">
        <v>0.80555555555555547</v>
      </c>
      <c r="J7" s="13">
        <v>3</v>
      </c>
      <c r="K7" s="13">
        <v>12.3</v>
      </c>
      <c r="L7" s="13">
        <v>12.3</v>
      </c>
      <c r="M7" s="15" t="s">
        <v>59</v>
      </c>
    </row>
    <row r="8" spans="1:14" x14ac:dyDescent="0.25">
      <c r="A8" s="13">
        <v>2</v>
      </c>
      <c r="B8" s="13">
        <v>231651</v>
      </c>
      <c r="C8" s="15" t="s">
        <v>60</v>
      </c>
      <c r="D8" s="16">
        <v>0.3263888888888889</v>
      </c>
      <c r="E8" s="16">
        <v>0.33333333333333331</v>
      </c>
      <c r="F8" s="13">
        <v>2</v>
      </c>
      <c r="G8" s="13">
        <v>10</v>
      </c>
      <c r="H8" s="16">
        <v>0.8125</v>
      </c>
      <c r="I8" s="16">
        <v>0.81944444444444453</v>
      </c>
      <c r="J8" s="13">
        <v>2</v>
      </c>
      <c r="K8" s="13">
        <v>10</v>
      </c>
      <c r="L8" s="13">
        <v>10</v>
      </c>
      <c r="M8" s="15" t="s">
        <v>61</v>
      </c>
    </row>
    <row r="9" spans="1:14" x14ac:dyDescent="0.25">
      <c r="A9" s="13">
        <v>3</v>
      </c>
      <c r="B9" s="13">
        <v>231653</v>
      </c>
      <c r="C9" s="15" t="s">
        <v>62</v>
      </c>
      <c r="D9" s="16">
        <v>0.34375</v>
      </c>
      <c r="E9" s="16">
        <v>0.34722222222222227</v>
      </c>
      <c r="F9" s="13">
        <v>4</v>
      </c>
      <c r="G9" s="13">
        <v>3</v>
      </c>
      <c r="H9" s="16">
        <v>0.82986111111111116</v>
      </c>
      <c r="I9" s="16">
        <v>0.83333333333333337</v>
      </c>
      <c r="J9" s="13">
        <v>4</v>
      </c>
      <c r="K9" s="13">
        <v>3</v>
      </c>
      <c r="L9" s="13">
        <v>3</v>
      </c>
      <c r="M9" s="15" t="s">
        <v>63</v>
      </c>
    </row>
    <row r="10" spans="1:14" x14ac:dyDescent="0.25">
      <c r="A10" s="13"/>
      <c r="B10" s="13">
        <v>1287</v>
      </c>
      <c r="C10" s="15" t="s">
        <v>43</v>
      </c>
      <c r="D10" s="16">
        <v>0.3576388888888889</v>
      </c>
      <c r="E10" s="13"/>
      <c r="F10" s="13"/>
      <c r="G10" s="13">
        <v>6.8</v>
      </c>
      <c r="H10" s="16">
        <v>0.34375</v>
      </c>
      <c r="I10" s="13"/>
      <c r="J10" s="13"/>
      <c r="K10" s="13">
        <v>6.8</v>
      </c>
      <c r="L10" s="13">
        <v>6.8</v>
      </c>
      <c r="M10" s="15" t="s">
        <v>44</v>
      </c>
      <c r="N10" s="17" t="s">
        <v>70</v>
      </c>
    </row>
    <row r="11" spans="1:14" x14ac:dyDescent="0.25">
      <c r="A11" s="13"/>
      <c r="B11" s="13"/>
      <c r="C11" s="15"/>
      <c r="D11" s="15"/>
      <c r="E11" s="15"/>
      <c r="F11" s="9">
        <v>9</v>
      </c>
      <c r="G11" s="9">
        <v>32.1</v>
      </c>
      <c r="H11" s="15"/>
      <c r="I11" s="15"/>
      <c r="J11" s="13">
        <v>9</v>
      </c>
      <c r="K11" s="9">
        <v>32.1</v>
      </c>
      <c r="L11" s="19">
        <f>SUM(L7:L10)</f>
        <v>32.1</v>
      </c>
      <c r="M11" s="15"/>
    </row>
    <row r="12" spans="1:14" ht="15.75" customHeight="1" x14ac:dyDescent="0.25">
      <c r="A12" s="8"/>
      <c r="B12" s="8"/>
      <c r="C12" s="18" t="s">
        <v>45</v>
      </c>
      <c r="D12" s="8"/>
      <c r="E12" s="8"/>
      <c r="F12" s="8"/>
      <c r="G12" s="9"/>
      <c r="H12" s="8"/>
      <c r="I12" s="8"/>
      <c r="J12" s="8"/>
      <c r="K12" s="9"/>
      <c r="L12" s="9"/>
      <c r="M12" s="8"/>
    </row>
    <row r="13" spans="1:14" x14ac:dyDescent="0.25">
      <c r="A13" s="27" t="s">
        <v>46</v>
      </c>
      <c r="B13" s="28"/>
      <c r="C13" s="9" t="s">
        <v>47</v>
      </c>
      <c r="D13" s="27" t="s">
        <v>48</v>
      </c>
      <c r="E13" s="38"/>
      <c r="F13" s="38"/>
      <c r="G13" s="38"/>
      <c r="H13" s="38"/>
      <c r="I13" s="38"/>
      <c r="J13" s="38"/>
      <c r="K13" s="38"/>
      <c r="L13" s="38"/>
      <c r="M13" s="28"/>
    </row>
    <row r="14" spans="1:14" x14ac:dyDescent="0.25">
      <c r="A14" s="9" t="s">
        <v>49</v>
      </c>
      <c r="B14" s="9">
        <v>0</v>
      </c>
      <c r="C14" s="43" t="s">
        <v>50</v>
      </c>
      <c r="D14" s="29" t="s">
        <v>51</v>
      </c>
      <c r="E14" s="30"/>
      <c r="F14" s="30"/>
      <c r="G14" s="30"/>
      <c r="H14" s="30"/>
      <c r="I14" s="30"/>
      <c r="J14" s="30"/>
      <c r="K14" s="30"/>
      <c r="L14" s="30"/>
      <c r="M14" s="31"/>
    </row>
    <row r="15" spans="1:14" x14ac:dyDescent="0.25">
      <c r="A15" s="9" t="s">
        <v>52</v>
      </c>
      <c r="B15" s="9">
        <v>64.2</v>
      </c>
      <c r="C15" s="43"/>
      <c r="D15" s="32"/>
      <c r="E15" s="33"/>
      <c r="F15" s="33"/>
      <c r="G15" s="33"/>
      <c r="H15" s="33"/>
      <c r="I15" s="33"/>
      <c r="J15" s="33"/>
      <c r="K15" s="33"/>
      <c r="L15" s="33"/>
      <c r="M15" s="34"/>
    </row>
    <row r="16" spans="1:14" x14ac:dyDescent="0.25">
      <c r="A16" s="9" t="s">
        <v>53</v>
      </c>
      <c r="B16" s="9">
        <v>64.2</v>
      </c>
      <c r="C16" s="43"/>
      <c r="D16" s="35"/>
      <c r="E16" s="36"/>
      <c r="F16" s="36"/>
      <c r="G16" s="36"/>
      <c r="H16" s="36"/>
      <c r="I16" s="36"/>
      <c r="J16" s="36"/>
      <c r="K16" s="36"/>
      <c r="L16" s="36"/>
      <c r="M16" s="37"/>
    </row>
    <row r="18" spans="1:6" x14ac:dyDescent="0.25">
      <c r="A18" s="17">
        <v>1000</v>
      </c>
      <c r="B18" s="13">
        <v>231654</v>
      </c>
      <c r="C18" s="17" t="s">
        <v>67</v>
      </c>
      <c r="D18" s="13">
        <v>1</v>
      </c>
      <c r="E18" s="20" t="s">
        <v>65</v>
      </c>
      <c r="F18" s="13">
        <v>12.3</v>
      </c>
    </row>
    <row r="19" spans="1:6" x14ac:dyDescent="0.25">
      <c r="A19" s="17">
        <v>1000</v>
      </c>
      <c r="B19" s="13">
        <v>231651</v>
      </c>
      <c r="C19" s="17" t="s">
        <v>67</v>
      </c>
      <c r="D19" s="13">
        <v>2</v>
      </c>
      <c r="E19" s="20" t="s">
        <v>65</v>
      </c>
      <c r="F19" s="13">
        <v>10</v>
      </c>
    </row>
    <row r="20" spans="1:6" x14ac:dyDescent="0.25">
      <c r="A20" s="17">
        <v>1000</v>
      </c>
      <c r="B20" s="13">
        <v>231653</v>
      </c>
      <c r="C20" s="17" t="s">
        <v>67</v>
      </c>
      <c r="D20" s="13">
        <v>3</v>
      </c>
      <c r="E20" s="20" t="s">
        <v>65</v>
      </c>
      <c r="F20" s="13">
        <v>9.6999999999999993</v>
      </c>
    </row>
  </sheetData>
  <mergeCells count="22">
    <mergeCell ref="A13:B13"/>
    <mergeCell ref="D14:M16"/>
    <mergeCell ref="D13:M13"/>
    <mergeCell ref="I3:M3"/>
    <mergeCell ref="E3:H3"/>
    <mergeCell ref="L5:L6"/>
    <mergeCell ref="C14:C16"/>
    <mergeCell ref="F5:F6"/>
    <mergeCell ref="G5:G6"/>
    <mergeCell ref="H5:I5"/>
    <mergeCell ref="J5:J6"/>
    <mergeCell ref="K5:K6"/>
    <mergeCell ref="M5:M6"/>
    <mergeCell ref="A1:M1"/>
    <mergeCell ref="A2:M2"/>
    <mergeCell ref="A3:D3"/>
    <mergeCell ref="A4:A6"/>
    <mergeCell ref="B4:B6"/>
    <mergeCell ref="D4:G4"/>
    <mergeCell ref="H4:K4"/>
    <mergeCell ref="D5:E5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N12" sqref="N12"/>
    </sheetView>
  </sheetViews>
  <sheetFormatPr defaultRowHeight="15" x14ac:dyDescent="0.25"/>
  <cols>
    <col min="1" max="1" width="9.85546875" style="17" customWidth="1"/>
    <col min="2" max="2" width="9.42578125" style="17" bestFit="1" customWidth="1"/>
    <col min="3" max="3" width="14.85546875" style="17" customWidth="1"/>
    <col min="4" max="4" width="11.7109375" style="17" bestFit="1" customWidth="1"/>
    <col min="5" max="5" width="15" style="17" bestFit="1" customWidth="1"/>
    <col min="6" max="6" width="10" style="17" customWidth="1"/>
    <col min="7" max="7" width="9" style="17" customWidth="1"/>
    <col min="8" max="8" width="11.7109375" style="17" bestFit="1" customWidth="1"/>
    <col min="9" max="9" width="15" style="17" bestFit="1" customWidth="1"/>
    <col min="10" max="10" width="9.42578125" style="17" customWidth="1"/>
    <col min="11" max="12" width="8.28515625" style="17" customWidth="1"/>
    <col min="13" max="13" width="21.7109375" style="17" customWidth="1"/>
    <col min="14" max="16384" width="9.140625" style="17"/>
  </cols>
  <sheetData>
    <row r="1" spans="1:14" s="12" customFormat="1" ht="26.25" customHeight="1" x14ac:dyDescent="0.25">
      <c r="A1" s="26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4" s="12" customFormat="1" ht="18.75" customHeight="1" x14ac:dyDescent="0.25">
      <c r="A2" s="26" t="s">
        <v>22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s="12" customFormat="1" ht="45" customHeight="1" x14ac:dyDescent="0.25">
      <c r="A3" s="23" t="s">
        <v>54</v>
      </c>
      <c r="B3" s="24"/>
      <c r="C3" s="24"/>
      <c r="D3" s="25"/>
      <c r="E3" s="39" t="s">
        <v>69</v>
      </c>
      <c r="F3" s="40"/>
      <c r="G3" s="40"/>
      <c r="H3" s="40"/>
      <c r="I3" s="41"/>
      <c r="J3" s="39" t="s">
        <v>55</v>
      </c>
      <c r="K3" s="40"/>
      <c r="L3" s="40"/>
      <c r="M3" s="41"/>
    </row>
    <row r="4" spans="1:14" s="12" customFormat="1" ht="15" customHeight="1" x14ac:dyDescent="0.25">
      <c r="A4" s="26" t="s">
        <v>23</v>
      </c>
      <c r="B4" s="26" t="s">
        <v>24</v>
      </c>
      <c r="C4" s="45" t="s">
        <v>25</v>
      </c>
      <c r="D4" s="26" t="s">
        <v>26</v>
      </c>
      <c r="E4" s="26"/>
      <c r="F4" s="26"/>
      <c r="G4" s="26"/>
      <c r="H4" s="26" t="s">
        <v>27</v>
      </c>
      <c r="I4" s="26"/>
      <c r="J4" s="26"/>
      <c r="K4" s="26"/>
      <c r="L4" s="11"/>
      <c r="M4" s="10"/>
    </row>
    <row r="5" spans="1:14" s="12" customFormat="1" x14ac:dyDescent="0.25">
      <c r="A5" s="26"/>
      <c r="B5" s="26"/>
      <c r="C5" s="46"/>
      <c r="D5" s="26" t="s">
        <v>28</v>
      </c>
      <c r="E5" s="26"/>
      <c r="F5" s="26" t="s">
        <v>29</v>
      </c>
      <c r="G5" s="26" t="s">
        <v>30</v>
      </c>
      <c r="H5" s="26" t="s">
        <v>28</v>
      </c>
      <c r="I5" s="26"/>
      <c r="J5" s="26" t="s">
        <v>29</v>
      </c>
      <c r="K5" s="26" t="s">
        <v>30</v>
      </c>
      <c r="L5" s="42" t="s">
        <v>7</v>
      </c>
      <c r="M5" s="44" t="s">
        <v>56</v>
      </c>
    </row>
    <row r="6" spans="1:14" s="12" customFormat="1" x14ac:dyDescent="0.25">
      <c r="A6" s="26"/>
      <c r="B6" s="26"/>
      <c r="C6" s="47"/>
      <c r="D6" s="11" t="s">
        <v>31</v>
      </c>
      <c r="E6" s="11" t="s">
        <v>32</v>
      </c>
      <c r="F6" s="26"/>
      <c r="G6" s="26"/>
      <c r="H6" s="11" t="s">
        <v>31</v>
      </c>
      <c r="I6" s="11" t="s">
        <v>32</v>
      </c>
      <c r="J6" s="26"/>
      <c r="K6" s="26"/>
      <c r="L6" s="42"/>
      <c r="M6" s="44"/>
    </row>
    <row r="7" spans="1:14" x14ac:dyDescent="0.25">
      <c r="A7" s="13">
        <v>1</v>
      </c>
      <c r="B7" s="14">
        <v>231893</v>
      </c>
      <c r="C7" s="15" t="s">
        <v>33</v>
      </c>
      <c r="D7" s="16">
        <v>0.30208333333333331</v>
      </c>
      <c r="E7" s="16">
        <v>0.30555555555555552</v>
      </c>
      <c r="F7" s="13">
        <v>2</v>
      </c>
      <c r="G7" s="13">
        <v>8.1</v>
      </c>
      <c r="H7" s="16">
        <v>0.78472222222222221</v>
      </c>
      <c r="I7" s="16">
        <v>0.79166666666666663</v>
      </c>
      <c r="J7" s="13">
        <v>2</v>
      </c>
      <c r="K7" s="13">
        <v>8.1</v>
      </c>
      <c r="L7" s="13">
        <v>8.1</v>
      </c>
      <c r="M7" s="15" t="s">
        <v>34</v>
      </c>
    </row>
    <row r="8" spans="1:14" x14ac:dyDescent="0.25">
      <c r="A8" s="13">
        <v>2</v>
      </c>
      <c r="B8" s="14">
        <v>231892</v>
      </c>
      <c r="C8" s="15" t="s">
        <v>35</v>
      </c>
      <c r="D8" s="16">
        <v>0.3125</v>
      </c>
      <c r="E8" s="16">
        <v>0.31944444444444448</v>
      </c>
      <c r="F8" s="13">
        <v>4</v>
      </c>
      <c r="G8" s="13">
        <v>6</v>
      </c>
      <c r="H8" s="16">
        <v>0.79861111111111116</v>
      </c>
      <c r="I8" s="16">
        <v>0.80555555555555547</v>
      </c>
      <c r="J8" s="13">
        <v>4</v>
      </c>
      <c r="K8" s="13">
        <v>6</v>
      </c>
      <c r="L8" s="13">
        <v>6</v>
      </c>
      <c r="M8" s="15" t="s">
        <v>36</v>
      </c>
    </row>
    <row r="9" spans="1:14" x14ac:dyDescent="0.25">
      <c r="A9" s="13">
        <v>3</v>
      </c>
      <c r="B9" s="14">
        <v>231823</v>
      </c>
      <c r="C9" s="15" t="s">
        <v>37</v>
      </c>
      <c r="D9" s="16">
        <v>0.33333333333333331</v>
      </c>
      <c r="E9" s="16">
        <v>0.33680555555555558</v>
      </c>
      <c r="F9" s="13">
        <v>2</v>
      </c>
      <c r="G9" s="13">
        <v>2.5</v>
      </c>
      <c r="H9" s="16">
        <v>0.81944444444444453</v>
      </c>
      <c r="I9" s="16">
        <v>0.82291666666666663</v>
      </c>
      <c r="J9" s="13">
        <v>2</v>
      </c>
      <c r="K9" s="13">
        <v>2.5</v>
      </c>
      <c r="L9" s="13">
        <v>2.5</v>
      </c>
      <c r="M9" s="15" t="s">
        <v>38</v>
      </c>
    </row>
    <row r="10" spans="1:14" x14ac:dyDescent="0.25">
      <c r="A10" s="13">
        <v>4</v>
      </c>
      <c r="B10" s="14">
        <v>231904</v>
      </c>
      <c r="C10" s="15" t="s">
        <v>39</v>
      </c>
      <c r="D10" s="16">
        <v>0.34027777777777773</v>
      </c>
      <c r="E10" s="16">
        <v>0.34375</v>
      </c>
      <c r="F10" s="13">
        <v>2</v>
      </c>
      <c r="G10" s="13">
        <v>1.3</v>
      </c>
      <c r="H10" s="16">
        <v>0.82638888888888884</v>
      </c>
      <c r="I10" s="16">
        <v>0.82986111111111116</v>
      </c>
      <c r="J10" s="13">
        <v>2</v>
      </c>
      <c r="K10" s="13">
        <v>1.3</v>
      </c>
      <c r="L10" s="13">
        <v>1.3</v>
      </c>
      <c r="M10" s="15" t="s">
        <v>40</v>
      </c>
    </row>
    <row r="11" spans="1:14" x14ac:dyDescent="0.25">
      <c r="A11" s="13">
        <v>5</v>
      </c>
      <c r="B11" s="14">
        <v>231808</v>
      </c>
      <c r="C11" s="15" t="s">
        <v>41</v>
      </c>
      <c r="D11" s="16">
        <v>0.34722222222222227</v>
      </c>
      <c r="E11" s="16">
        <v>0.35069444444444442</v>
      </c>
      <c r="F11" s="13">
        <v>3</v>
      </c>
      <c r="G11" s="13">
        <v>4.7</v>
      </c>
      <c r="H11" s="16">
        <v>0.83333333333333337</v>
      </c>
      <c r="I11" s="16">
        <v>0.83680555555555547</v>
      </c>
      <c r="J11" s="13">
        <v>3</v>
      </c>
      <c r="K11" s="13">
        <v>4.7</v>
      </c>
      <c r="L11" s="13">
        <v>4.7</v>
      </c>
      <c r="M11" s="15" t="s">
        <v>42</v>
      </c>
    </row>
    <row r="12" spans="1:14" x14ac:dyDescent="0.25">
      <c r="A12" s="13"/>
      <c r="B12" s="14">
        <v>1287</v>
      </c>
      <c r="C12" s="15" t="s">
        <v>43</v>
      </c>
      <c r="D12" s="16">
        <v>0.36458333333333331</v>
      </c>
      <c r="E12" s="13"/>
      <c r="F12" s="13"/>
      <c r="G12" s="13">
        <v>6.4</v>
      </c>
      <c r="H12" s="16">
        <v>0.85069444444444453</v>
      </c>
      <c r="I12" s="13"/>
      <c r="J12" s="13"/>
      <c r="K12" s="13">
        <v>6.4</v>
      </c>
      <c r="L12" s="13">
        <v>6.4</v>
      </c>
      <c r="M12" s="15" t="s">
        <v>44</v>
      </c>
      <c r="N12" s="17" t="s">
        <v>70</v>
      </c>
    </row>
    <row r="13" spans="1:14" ht="15.75" customHeight="1" x14ac:dyDescent="0.25">
      <c r="A13" s="8"/>
      <c r="B13" s="8"/>
      <c r="C13" s="8" t="s">
        <v>45</v>
      </c>
      <c r="D13" s="9"/>
      <c r="E13" s="9"/>
      <c r="F13" s="9">
        <v>13</v>
      </c>
      <c r="G13" s="9">
        <v>29</v>
      </c>
      <c r="H13" s="9"/>
      <c r="I13" s="9"/>
      <c r="J13" s="9">
        <v>13</v>
      </c>
      <c r="K13" s="9">
        <v>29</v>
      </c>
      <c r="L13" s="19">
        <f>SUM(L7:L12)</f>
        <v>29</v>
      </c>
      <c r="M13" s="8"/>
    </row>
    <row r="14" spans="1:14" x14ac:dyDescent="0.25">
      <c r="A14" s="27" t="s">
        <v>46</v>
      </c>
      <c r="B14" s="28"/>
      <c r="C14" s="9" t="s">
        <v>47</v>
      </c>
      <c r="D14" s="43" t="s">
        <v>48</v>
      </c>
      <c r="E14" s="43"/>
      <c r="F14" s="43"/>
      <c r="G14" s="43"/>
      <c r="H14" s="43"/>
      <c r="I14" s="43"/>
      <c r="J14" s="43"/>
      <c r="K14" s="43"/>
      <c r="L14" s="43"/>
      <c r="M14" s="43"/>
    </row>
    <row r="15" spans="1:14" x14ac:dyDescent="0.25">
      <c r="A15" s="9" t="s">
        <v>49</v>
      </c>
      <c r="B15" s="9">
        <v>0</v>
      </c>
      <c r="C15" s="43" t="s">
        <v>50</v>
      </c>
      <c r="D15" s="43" t="s">
        <v>51</v>
      </c>
      <c r="E15" s="43"/>
      <c r="F15" s="43"/>
      <c r="G15" s="43"/>
      <c r="H15" s="43"/>
      <c r="I15" s="43"/>
      <c r="J15" s="43"/>
      <c r="K15" s="43"/>
      <c r="L15" s="43"/>
      <c r="M15" s="43"/>
    </row>
    <row r="16" spans="1:14" x14ac:dyDescent="0.25">
      <c r="A16" s="9" t="s">
        <v>52</v>
      </c>
      <c r="B16" s="9">
        <v>58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 spans="1:13" x14ac:dyDescent="0.25">
      <c r="A17" s="9" t="s">
        <v>53</v>
      </c>
      <c r="B17" s="9">
        <v>58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20" spans="1:13" x14ac:dyDescent="0.25">
      <c r="A20" s="17">
        <v>1000</v>
      </c>
      <c r="B20" s="14">
        <v>231893</v>
      </c>
      <c r="C20" s="17" t="s">
        <v>67</v>
      </c>
      <c r="D20" s="20">
        <v>1</v>
      </c>
      <c r="E20" s="20" t="s">
        <v>66</v>
      </c>
      <c r="F20" s="13">
        <v>8.1</v>
      </c>
    </row>
    <row r="21" spans="1:13" x14ac:dyDescent="0.25">
      <c r="A21" s="17">
        <v>1000</v>
      </c>
      <c r="B21" s="14">
        <v>231892</v>
      </c>
      <c r="C21" s="17" t="s">
        <v>67</v>
      </c>
      <c r="D21" s="20">
        <v>2</v>
      </c>
      <c r="E21" s="20" t="s">
        <v>66</v>
      </c>
      <c r="F21" s="13">
        <v>6</v>
      </c>
    </row>
    <row r="22" spans="1:13" x14ac:dyDescent="0.25">
      <c r="A22" s="17">
        <v>1000</v>
      </c>
      <c r="B22" s="14">
        <v>231823</v>
      </c>
      <c r="C22" s="17" t="s">
        <v>67</v>
      </c>
      <c r="D22" s="20">
        <v>3</v>
      </c>
      <c r="E22" s="20" t="s">
        <v>66</v>
      </c>
      <c r="F22" s="13">
        <v>2.5</v>
      </c>
    </row>
    <row r="23" spans="1:13" x14ac:dyDescent="0.25">
      <c r="A23" s="17">
        <v>1000</v>
      </c>
      <c r="B23" s="14">
        <v>231904</v>
      </c>
      <c r="C23" s="17" t="s">
        <v>67</v>
      </c>
      <c r="D23" s="20">
        <v>4</v>
      </c>
      <c r="E23" s="20" t="s">
        <v>66</v>
      </c>
      <c r="F23" s="13">
        <v>1.3</v>
      </c>
    </row>
    <row r="24" spans="1:13" x14ac:dyDescent="0.25">
      <c r="A24" s="17">
        <v>1000</v>
      </c>
      <c r="B24" s="14">
        <v>231808</v>
      </c>
      <c r="C24" s="17" t="s">
        <v>67</v>
      </c>
      <c r="D24" s="20">
        <v>5</v>
      </c>
      <c r="E24" s="20" t="s">
        <v>66</v>
      </c>
      <c r="F24" s="13">
        <v>11.1</v>
      </c>
    </row>
  </sheetData>
  <mergeCells count="22">
    <mergeCell ref="A14:B14"/>
    <mergeCell ref="J3:M3"/>
    <mergeCell ref="E3:I3"/>
    <mergeCell ref="L5:L6"/>
    <mergeCell ref="C15:C17"/>
    <mergeCell ref="D15:M17"/>
    <mergeCell ref="D14:M14"/>
    <mergeCell ref="F5:F6"/>
    <mergeCell ref="G5:G6"/>
    <mergeCell ref="H5:I5"/>
    <mergeCell ref="J5:J6"/>
    <mergeCell ref="K5:K6"/>
    <mergeCell ref="M5:M6"/>
    <mergeCell ref="C4:C6"/>
    <mergeCell ref="A1:M1"/>
    <mergeCell ref="A2:M2"/>
    <mergeCell ref="A3:D3"/>
    <mergeCell ref="A4:A6"/>
    <mergeCell ref="B4:B6"/>
    <mergeCell ref="D4:G4"/>
    <mergeCell ref="H4:K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BASARAGE</vt:lpstr>
      <vt:lpstr>KALAMMAWADI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2026-02-04T11:30:13Z</dcterms:modified>
</cp:coreProperties>
</file>